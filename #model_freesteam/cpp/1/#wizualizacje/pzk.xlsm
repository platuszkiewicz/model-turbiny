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240" yWindow="285" windowWidth="9555" windowHeight="7245" activeTab="1"/>
  </bookViews>
  <sheets>
    <sheet name="Arkusz1" sheetId="1" r:id="rId1"/>
    <sheet name="wykres p_zk" sheetId="2" r:id="rId2"/>
  </sheets>
  <definedNames>
    <definedName name="_1_1" localSheetId="1">'wykres p_zk'!$A$1:$O$36</definedName>
    <definedName name="_xlnm._FilterDatabase" localSheetId="1" hidden="1">'wykres p_zk'!$A$1:$S$66</definedName>
  </definedNames>
  <calcPr calcId="145621"/>
</workbook>
</file>

<file path=xl/calcChain.xml><?xml version="1.0" encoding="utf-8"?>
<calcChain xmlns="http://schemas.openxmlformats.org/spreadsheetml/2006/main">
  <c r="B41" i="2" l="1"/>
  <c r="C41" i="2"/>
  <c r="D41" i="2"/>
  <c r="E41" i="2"/>
  <c r="F41" i="2"/>
  <c r="G41" i="2"/>
  <c r="H41" i="2"/>
  <c r="B42" i="2"/>
  <c r="C42" i="2"/>
  <c r="D42" i="2"/>
  <c r="E42" i="2"/>
  <c r="F42" i="2"/>
  <c r="G42" i="2"/>
  <c r="H42" i="2"/>
  <c r="B43" i="2"/>
  <c r="C43" i="2"/>
  <c r="D43" i="2"/>
  <c r="E43" i="2"/>
  <c r="F43" i="2"/>
  <c r="G43" i="2"/>
  <c r="H43" i="2"/>
  <c r="B44" i="2"/>
  <c r="C44" i="2"/>
  <c r="D44" i="2"/>
  <c r="E44" i="2"/>
  <c r="F44" i="2"/>
  <c r="G44" i="2"/>
  <c r="H44" i="2"/>
  <c r="B45" i="2"/>
  <c r="C45" i="2"/>
  <c r="D45" i="2"/>
  <c r="E45" i="2"/>
  <c r="F45" i="2"/>
  <c r="G45" i="2"/>
  <c r="H45" i="2"/>
  <c r="B46" i="2"/>
  <c r="C46" i="2"/>
  <c r="D46" i="2"/>
  <c r="E46" i="2"/>
  <c r="F46" i="2"/>
  <c r="G46" i="2"/>
  <c r="H46" i="2"/>
  <c r="B47" i="2"/>
  <c r="C47" i="2"/>
  <c r="D47" i="2"/>
  <c r="E47" i="2"/>
  <c r="F47" i="2"/>
  <c r="G47" i="2"/>
  <c r="H47" i="2"/>
  <c r="B48" i="2"/>
  <c r="C48" i="2"/>
  <c r="D48" i="2"/>
  <c r="E48" i="2"/>
  <c r="F48" i="2"/>
  <c r="G48" i="2"/>
  <c r="H48" i="2"/>
  <c r="B49" i="2"/>
  <c r="C49" i="2"/>
  <c r="D49" i="2"/>
  <c r="E49" i="2"/>
  <c r="F49" i="2"/>
  <c r="G49" i="2"/>
  <c r="H49" i="2"/>
  <c r="B50" i="2"/>
  <c r="C50" i="2"/>
  <c r="D50" i="2"/>
  <c r="E50" i="2"/>
  <c r="F50" i="2"/>
  <c r="G50" i="2"/>
  <c r="H50" i="2"/>
  <c r="B51" i="2"/>
  <c r="C51" i="2"/>
  <c r="D51" i="2"/>
  <c r="E51" i="2"/>
  <c r="F51" i="2"/>
  <c r="G51" i="2"/>
  <c r="H51" i="2"/>
  <c r="B52" i="2"/>
  <c r="C52" i="2"/>
  <c r="D52" i="2"/>
  <c r="E52" i="2"/>
  <c r="F52" i="2"/>
  <c r="G52" i="2"/>
  <c r="H52" i="2"/>
  <c r="B53" i="2"/>
  <c r="C53" i="2"/>
  <c r="D53" i="2"/>
  <c r="E53" i="2"/>
  <c r="F53" i="2"/>
  <c r="G53" i="2"/>
  <c r="H53" i="2"/>
  <c r="B54" i="2"/>
  <c r="C54" i="2"/>
  <c r="D54" i="2"/>
  <c r="E54" i="2"/>
  <c r="F54" i="2"/>
  <c r="G54" i="2"/>
  <c r="H54" i="2"/>
  <c r="B55" i="2"/>
  <c r="C55" i="2"/>
  <c r="D55" i="2"/>
  <c r="E55" i="2"/>
  <c r="F55" i="2"/>
  <c r="G55" i="2"/>
  <c r="H55" i="2"/>
  <c r="B56" i="2"/>
  <c r="C56" i="2"/>
  <c r="D56" i="2"/>
  <c r="E56" i="2"/>
  <c r="F56" i="2"/>
  <c r="G56" i="2"/>
  <c r="H56" i="2"/>
  <c r="B57" i="2"/>
  <c r="C57" i="2"/>
  <c r="D57" i="2"/>
  <c r="E57" i="2"/>
  <c r="F57" i="2"/>
  <c r="G57" i="2"/>
  <c r="H57" i="2"/>
  <c r="B58" i="2"/>
  <c r="C58" i="2"/>
  <c r="D58" i="2"/>
  <c r="E58" i="2"/>
  <c r="F58" i="2"/>
  <c r="G58" i="2"/>
  <c r="H58" i="2"/>
  <c r="B59" i="2"/>
  <c r="C59" i="2"/>
  <c r="D59" i="2"/>
  <c r="E59" i="2"/>
  <c r="F59" i="2"/>
  <c r="G59" i="2"/>
  <c r="H59" i="2"/>
  <c r="B60" i="2"/>
  <c r="C60" i="2"/>
  <c r="D60" i="2"/>
  <c r="E60" i="2"/>
  <c r="F60" i="2"/>
  <c r="G60" i="2"/>
  <c r="H60" i="2"/>
  <c r="B61" i="2"/>
  <c r="C61" i="2"/>
  <c r="D61" i="2"/>
  <c r="E61" i="2"/>
  <c r="F61" i="2"/>
  <c r="G61" i="2"/>
  <c r="H61" i="2"/>
  <c r="B62" i="2"/>
  <c r="C62" i="2"/>
  <c r="D62" i="2"/>
  <c r="E62" i="2"/>
  <c r="F62" i="2"/>
  <c r="G62" i="2"/>
  <c r="H62" i="2"/>
  <c r="B63" i="2"/>
  <c r="C63" i="2"/>
  <c r="D63" i="2"/>
  <c r="E63" i="2"/>
  <c r="F63" i="2"/>
  <c r="G63" i="2"/>
  <c r="H63" i="2"/>
  <c r="B64" i="2"/>
  <c r="C64" i="2"/>
  <c r="D64" i="2"/>
  <c r="E64" i="2"/>
  <c r="F64" i="2"/>
  <c r="G64" i="2"/>
  <c r="H64" i="2"/>
  <c r="B65" i="2"/>
  <c r="C65" i="2"/>
  <c r="D65" i="2"/>
  <c r="E65" i="2"/>
  <c r="F65" i="2"/>
  <c r="G65" i="2"/>
  <c r="H65" i="2"/>
  <c r="B66" i="2"/>
  <c r="C66" i="2"/>
  <c r="D66" i="2"/>
  <c r="E66" i="2"/>
  <c r="F66" i="2"/>
  <c r="G66" i="2"/>
  <c r="H66" i="2"/>
  <c r="B67" i="2"/>
  <c r="C67" i="2"/>
  <c r="D67" i="2"/>
  <c r="E67" i="2"/>
  <c r="F67" i="2"/>
  <c r="G67" i="2"/>
  <c r="H67" i="2"/>
  <c r="B68" i="2"/>
  <c r="C68" i="2"/>
  <c r="D68" i="2"/>
  <c r="E68" i="2"/>
  <c r="F68" i="2"/>
  <c r="G68" i="2"/>
  <c r="H68" i="2"/>
  <c r="B69" i="2"/>
  <c r="C69" i="2"/>
  <c r="D69" i="2"/>
  <c r="E69" i="2"/>
  <c r="F69" i="2"/>
  <c r="G69" i="2"/>
  <c r="H69" i="2"/>
  <c r="B70" i="2"/>
  <c r="C70" i="2"/>
  <c r="D70" i="2"/>
  <c r="E70" i="2"/>
  <c r="F70" i="2"/>
  <c r="G70" i="2"/>
  <c r="H70" i="2"/>
  <c r="B71" i="2"/>
  <c r="C71" i="2"/>
  <c r="D71" i="2"/>
  <c r="E71" i="2"/>
  <c r="F71" i="2"/>
  <c r="G71" i="2"/>
  <c r="H71" i="2"/>
  <c r="B72" i="2"/>
  <c r="C72" i="2"/>
  <c r="D72" i="2"/>
  <c r="E72" i="2"/>
  <c r="F72" i="2"/>
  <c r="G72" i="2"/>
  <c r="H72" i="2"/>
  <c r="B73" i="2"/>
  <c r="C73" i="2"/>
  <c r="D73" i="2"/>
  <c r="E73" i="2"/>
  <c r="F73" i="2"/>
  <c r="G73" i="2"/>
  <c r="H73" i="2"/>
  <c r="B74" i="2"/>
  <c r="C74" i="2"/>
  <c r="D74" i="2"/>
  <c r="E74" i="2"/>
  <c r="F74" i="2"/>
  <c r="G74" i="2"/>
  <c r="H74" i="2"/>
  <c r="C40" i="2"/>
  <c r="D40" i="2"/>
  <c r="E40" i="2"/>
  <c r="F40" i="2"/>
  <c r="G40" i="2"/>
  <c r="H40" i="2"/>
  <c r="B40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2" i="2"/>
  <c r="Q31" i="2" l="1"/>
  <c r="R31" i="2"/>
  <c r="S31" i="2"/>
  <c r="Q32" i="2"/>
  <c r="R32" i="2"/>
  <c r="S32" i="2"/>
  <c r="Q33" i="2"/>
  <c r="R33" i="2"/>
  <c r="S33" i="2"/>
  <c r="Q34" i="2"/>
  <c r="R34" i="2"/>
  <c r="S34" i="2"/>
  <c r="Q35" i="2"/>
  <c r="R35" i="2"/>
  <c r="S35" i="2"/>
  <c r="Q36" i="2"/>
  <c r="R36" i="2"/>
  <c r="S36" i="2"/>
  <c r="Q3" i="2" l="1"/>
  <c r="R3" i="2"/>
  <c r="S3" i="2"/>
  <c r="Q4" i="2"/>
  <c r="R4" i="2"/>
  <c r="S4" i="2"/>
  <c r="Q5" i="2"/>
  <c r="R5" i="2"/>
  <c r="S5" i="2"/>
  <c r="Q6" i="2"/>
  <c r="R6" i="2"/>
  <c r="S6" i="2"/>
  <c r="Q7" i="2"/>
  <c r="R7" i="2"/>
  <c r="S7" i="2"/>
  <c r="Q8" i="2"/>
  <c r="R8" i="2"/>
  <c r="S8" i="2"/>
  <c r="Q9" i="2"/>
  <c r="R9" i="2"/>
  <c r="S9" i="2"/>
  <c r="Q10" i="2"/>
  <c r="R10" i="2"/>
  <c r="S10" i="2"/>
  <c r="Q11" i="2"/>
  <c r="R11" i="2"/>
  <c r="S11" i="2"/>
  <c r="Q12" i="2"/>
  <c r="R12" i="2"/>
  <c r="S12" i="2"/>
  <c r="Q13" i="2"/>
  <c r="R13" i="2"/>
  <c r="S13" i="2"/>
  <c r="Q14" i="2"/>
  <c r="R14" i="2"/>
  <c r="S14" i="2"/>
  <c r="Q15" i="2"/>
  <c r="R15" i="2"/>
  <c r="S15" i="2"/>
  <c r="Q16" i="2"/>
  <c r="R16" i="2"/>
  <c r="S16" i="2"/>
  <c r="Q17" i="2"/>
  <c r="R17" i="2"/>
  <c r="S17" i="2"/>
  <c r="Q18" i="2"/>
  <c r="R18" i="2"/>
  <c r="S18" i="2"/>
  <c r="Q19" i="2"/>
  <c r="R19" i="2"/>
  <c r="S19" i="2"/>
  <c r="Q20" i="2"/>
  <c r="R20" i="2"/>
  <c r="S20" i="2"/>
  <c r="Q21" i="2"/>
  <c r="R21" i="2"/>
  <c r="S21" i="2"/>
  <c r="Q22" i="2"/>
  <c r="R22" i="2"/>
  <c r="S22" i="2"/>
  <c r="Q23" i="2"/>
  <c r="R23" i="2"/>
  <c r="S23" i="2"/>
  <c r="Q24" i="2"/>
  <c r="R24" i="2"/>
  <c r="S24" i="2"/>
  <c r="Q25" i="2"/>
  <c r="R25" i="2"/>
  <c r="S25" i="2"/>
  <c r="Q26" i="2"/>
  <c r="R26" i="2"/>
  <c r="S26" i="2"/>
  <c r="Q27" i="2"/>
  <c r="R27" i="2"/>
  <c r="S27" i="2"/>
  <c r="Q28" i="2"/>
  <c r="R28" i="2"/>
  <c r="S28" i="2"/>
  <c r="Q29" i="2"/>
  <c r="R29" i="2"/>
  <c r="S29" i="2"/>
  <c r="Q30" i="2"/>
  <c r="R30" i="2"/>
  <c r="S30" i="2"/>
  <c r="R2" i="2"/>
  <c r="Q2" i="2"/>
  <c r="S2" i="2" l="1"/>
  <c r="B27" i="1"/>
  <c r="D36" i="1"/>
  <c r="B21" i="1"/>
  <c r="B24" i="1"/>
  <c r="B28" i="1"/>
  <c r="B29" i="1"/>
  <c r="B30" i="1"/>
  <c r="B31" i="1"/>
  <c r="B32" i="1"/>
  <c r="B33" i="1"/>
  <c r="B34" i="1"/>
  <c r="B35" i="1"/>
  <c r="B36" i="1"/>
  <c r="C27" i="1"/>
  <c r="C29" i="1"/>
  <c r="B22" i="1"/>
  <c r="C35" i="1" l="1"/>
  <c r="C31" i="1"/>
  <c r="C34" i="1"/>
  <c r="C30" i="1"/>
  <c r="C28" i="1"/>
  <c r="C33" i="1"/>
  <c r="C36" i="1"/>
  <c r="C32" i="1"/>
</calcChain>
</file>

<file path=xl/connections.xml><?xml version="1.0" encoding="utf-8"?>
<connections xmlns="http://schemas.openxmlformats.org/spreadsheetml/2006/main">
  <connection id="1" name="11" type="6" refreshedVersion="4" background="1" saveData="1">
    <textPr codePage="852" sourceFile="D:\##STUDIA\+III sem mgr\#Praca magisterska\#model_freesteam\cpp\1\st_reg.txt" thousands=" " space="1" consecutive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<sst xmlns="http://schemas.openxmlformats.org/spreadsheetml/2006/main" count="33" uniqueCount="31">
  <si>
    <t>m</t>
  </si>
  <si>
    <t>pr</t>
  </si>
  <si>
    <t>pz2=pz1=pzh</t>
  </si>
  <si>
    <t>beta_d</t>
  </si>
  <si>
    <t>eps_h</t>
  </si>
  <si>
    <t>p_r</t>
  </si>
  <si>
    <t>p_zk</t>
  </si>
  <si>
    <t>g</t>
  </si>
  <si>
    <t>moje</t>
  </si>
  <si>
    <t>miller</t>
  </si>
  <si>
    <t>p01</t>
  </si>
  <si>
    <t>pz3(pz4)</t>
  </si>
  <si>
    <t>Pr</t>
  </si>
  <si>
    <t>m_0</t>
  </si>
  <si>
    <t>p_z1</t>
  </si>
  <si>
    <t>p_z2</t>
  </si>
  <si>
    <t>p_z3</t>
  </si>
  <si>
    <t>p_z4</t>
  </si>
  <si>
    <t>m_z1</t>
  </si>
  <si>
    <t>m_z2</t>
  </si>
  <si>
    <t>m_z3</t>
  </si>
  <si>
    <t>m_z4</t>
  </si>
  <si>
    <t>1+2</t>
  </si>
  <si>
    <t>1+2+3</t>
  </si>
  <si>
    <t>1+2+3+4</t>
  </si>
  <si>
    <t>p_0</t>
  </si>
  <si>
    <t>p_zh</t>
  </si>
  <si>
    <t>P_r</t>
  </si>
  <si>
    <t>gx</t>
  </si>
  <si>
    <t>p_0 [Mpa]</t>
  </si>
  <si>
    <t>Poniżej są wartości dla wykresu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</si>
</sst>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2" fontId="0" fillId="0" borderId="0" xfId="0" applyNumberFormat="1"/>
    <xf numFmtId="1" fontId="1" fillId="0" borderId="0" xfId="0" applyNumberFormat="1" applyFont="1"/>
  </cellXfs>
  <cellStyles count="1">
    <cellStyle name="Normalny" xfId="0" builtinId="0"/>
  </cellStyles>
  <dxfs count="9"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79998168889431442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Arkusz1!$B$26</c:f>
              <c:strCache>
                <c:ptCount val="1"/>
                <c:pt idx="0">
                  <c:v>moje</c:v>
                </c:pt>
              </c:strCache>
            </c:strRef>
          </c:tx>
          <c:marker>
            <c:symbol val="none"/>
          </c:marker>
          <c:cat>
            <c:numRef>
              <c:f>Arkusz1!$A$27:$A$36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Arkusz1!$B$27:$B$36</c:f>
              <c:numCache>
                <c:formatCode>General</c:formatCode>
                <c:ptCount val="10"/>
                <c:pt idx="0">
                  <c:v>10176197.738999886</c:v>
                </c:pt>
                <c:pt idx="1">
                  <c:v>10224822.394370537</c:v>
                </c:pt>
                <c:pt idx="2">
                  <c:v>10305968.58711225</c:v>
                </c:pt>
                <c:pt idx="3">
                  <c:v>10419795.04548813</c:v>
                </c:pt>
                <c:pt idx="4">
                  <c:v>10566526.169606213</c:v>
                </c:pt>
                <c:pt idx="5">
                  <c:v>10746454.272264697</c:v>
                </c:pt>
                <c:pt idx="6">
                  <c:v>10959942.549019577</c:v>
                </c:pt>
                <c:pt idx="7">
                  <c:v>11207428.849367475</c:v>
                </c:pt>
                <c:pt idx="8">
                  <c:v>11489430.343069339</c:v>
                </c:pt>
                <c:pt idx="9">
                  <c:v>11806549.202116247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Arkusz1!$C$26</c:f>
              <c:strCache>
                <c:ptCount val="1"/>
                <c:pt idx="0">
                  <c:v>miller</c:v>
                </c:pt>
              </c:strCache>
            </c:strRef>
          </c:tx>
          <c:marker>
            <c:symbol val="none"/>
          </c:marker>
          <c:cat>
            <c:numRef>
              <c:f>Arkusz1!$A$27:$A$36</c:f>
              <c:numCache>
                <c:formatCode>General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cat>
          <c:val>
            <c:numRef>
              <c:f>Arkusz1!$C$27:$C$36</c:f>
              <c:numCache>
                <c:formatCode>General</c:formatCode>
                <c:ptCount val="10"/>
                <c:pt idx="0">
                  <c:v>10194454.409115519</c:v>
                </c:pt>
                <c:pt idx="1">
                  <c:v>10297960.090636577</c:v>
                </c:pt>
                <c:pt idx="2">
                  <c:v>10470947.368358077</c:v>
                </c:pt>
                <c:pt idx="3">
                  <c:v>10714143.46434957</c:v>
                </c:pt>
                <c:pt idx="4">
                  <c:v>11028588.042408047</c:v>
                </c:pt>
                <c:pt idx="5">
                  <c:v>11415656.056819646</c:v>
                </c:pt>
                <c:pt idx="6">
                  <c:v>11877089.11404933</c:v>
                </c:pt>
                <c:pt idx="7">
                  <c:v>12415037.090766326</c:v>
                </c:pt>
                <c:pt idx="8">
                  <c:v>13032112.469725244</c:v>
                </c:pt>
                <c:pt idx="9">
                  <c:v>13731460.85043085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966784"/>
        <c:axId val="165189824"/>
      </c:lineChart>
      <c:catAx>
        <c:axId val="206966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189824"/>
        <c:crosses val="autoZero"/>
        <c:auto val="1"/>
        <c:lblAlgn val="ctr"/>
        <c:lblOffset val="100"/>
        <c:noMultiLvlLbl val="0"/>
      </c:catAx>
      <c:valAx>
        <c:axId val="165189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9667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Arkusz1!$C$1</c:f>
              <c:strCache>
                <c:ptCount val="1"/>
                <c:pt idx="0">
                  <c:v>pr</c:v>
                </c:pt>
              </c:strCache>
            </c:strRef>
          </c:tx>
          <c:marker>
            <c:symbol val="none"/>
          </c:marker>
          <c:cat>
            <c:numRef>
              <c:f>Arkusz1!$B$2:$B$18</c:f>
              <c:numCache>
                <c:formatCode>General</c:formatCode>
                <c:ptCount val="17"/>
                <c:pt idx="0">
                  <c:v>0.03</c:v>
                </c:pt>
                <c:pt idx="1">
                  <c:v>0.18</c:v>
                </c:pt>
                <c:pt idx="2">
                  <c:v>0.25</c:v>
                </c:pt>
                <c:pt idx="3">
                  <c:v>0.33</c:v>
                </c:pt>
                <c:pt idx="4">
                  <c:v>0.4</c:v>
                </c:pt>
                <c:pt idx="5">
                  <c:v>0.47</c:v>
                </c:pt>
                <c:pt idx="6">
                  <c:v>0.55000000000000004</c:v>
                </c:pt>
                <c:pt idx="7">
                  <c:v>0.62</c:v>
                </c:pt>
                <c:pt idx="8">
                  <c:v>0.7</c:v>
                </c:pt>
                <c:pt idx="9">
                  <c:v>0.78</c:v>
                </c:pt>
                <c:pt idx="10">
                  <c:v>0.87</c:v>
                </c:pt>
                <c:pt idx="11">
                  <c:v>0.95</c:v>
                </c:pt>
                <c:pt idx="12">
                  <c:v>0.09</c:v>
                </c:pt>
                <c:pt idx="13">
                  <c:v>0.28000000000000003</c:v>
                </c:pt>
                <c:pt idx="14">
                  <c:v>0.48</c:v>
                </c:pt>
                <c:pt idx="15">
                  <c:v>0.68</c:v>
                </c:pt>
                <c:pt idx="16">
                  <c:v>0.89</c:v>
                </c:pt>
              </c:numCache>
            </c:numRef>
          </c:cat>
          <c:val>
            <c:numRef>
              <c:f>Arkusz1!$C$2:$C$18</c:f>
              <c:numCache>
                <c:formatCode>General</c:formatCode>
                <c:ptCount val="17"/>
                <c:pt idx="0">
                  <c:v>5.85</c:v>
                </c:pt>
                <c:pt idx="1">
                  <c:v>6.11</c:v>
                </c:pt>
                <c:pt idx="2">
                  <c:v>6.23</c:v>
                </c:pt>
                <c:pt idx="3">
                  <c:v>6.36</c:v>
                </c:pt>
                <c:pt idx="4">
                  <c:v>6.49</c:v>
                </c:pt>
                <c:pt idx="5">
                  <c:v>6.62</c:v>
                </c:pt>
                <c:pt idx="6">
                  <c:v>6.75</c:v>
                </c:pt>
                <c:pt idx="7">
                  <c:v>6.87</c:v>
                </c:pt>
                <c:pt idx="8">
                  <c:v>7</c:v>
                </c:pt>
                <c:pt idx="9">
                  <c:v>7.13</c:v>
                </c:pt>
                <c:pt idx="10">
                  <c:v>7.26</c:v>
                </c:pt>
                <c:pt idx="11">
                  <c:v>7.39</c:v>
                </c:pt>
                <c:pt idx="12">
                  <c:v>7.52</c:v>
                </c:pt>
                <c:pt idx="13">
                  <c:v>7.65</c:v>
                </c:pt>
                <c:pt idx="14">
                  <c:v>7.78</c:v>
                </c:pt>
                <c:pt idx="15">
                  <c:v>7.91</c:v>
                </c:pt>
                <c:pt idx="16">
                  <c:v>8.0299999999999994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Arkusz1!$D$1</c:f>
              <c:strCache>
                <c:ptCount val="1"/>
                <c:pt idx="0">
                  <c:v>pz3(pz4)</c:v>
                </c:pt>
              </c:strCache>
            </c:strRef>
          </c:tx>
          <c:marker>
            <c:symbol val="none"/>
          </c:marker>
          <c:cat>
            <c:numRef>
              <c:f>Arkusz1!$B$2:$B$18</c:f>
              <c:numCache>
                <c:formatCode>General</c:formatCode>
                <c:ptCount val="17"/>
                <c:pt idx="0">
                  <c:v>0.03</c:v>
                </c:pt>
                <c:pt idx="1">
                  <c:v>0.18</c:v>
                </c:pt>
                <c:pt idx="2">
                  <c:v>0.25</c:v>
                </c:pt>
                <c:pt idx="3">
                  <c:v>0.33</c:v>
                </c:pt>
                <c:pt idx="4">
                  <c:v>0.4</c:v>
                </c:pt>
                <c:pt idx="5">
                  <c:v>0.47</c:v>
                </c:pt>
                <c:pt idx="6">
                  <c:v>0.55000000000000004</c:v>
                </c:pt>
                <c:pt idx="7">
                  <c:v>0.62</c:v>
                </c:pt>
                <c:pt idx="8">
                  <c:v>0.7</c:v>
                </c:pt>
                <c:pt idx="9">
                  <c:v>0.78</c:v>
                </c:pt>
                <c:pt idx="10">
                  <c:v>0.87</c:v>
                </c:pt>
                <c:pt idx="11">
                  <c:v>0.95</c:v>
                </c:pt>
                <c:pt idx="12">
                  <c:v>0.09</c:v>
                </c:pt>
                <c:pt idx="13">
                  <c:v>0.28000000000000003</c:v>
                </c:pt>
                <c:pt idx="14">
                  <c:v>0.48</c:v>
                </c:pt>
                <c:pt idx="15">
                  <c:v>0.68</c:v>
                </c:pt>
                <c:pt idx="16">
                  <c:v>0.89</c:v>
                </c:pt>
              </c:numCache>
            </c:numRef>
          </c:cat>
          <c:val>
            <c:numRef>
              <c:f>Arkusz1!$D$2:$D$18</c:f>
              <c:numCache>
                <c:formatCode>General</c:formatCode>
                <c:ptCount val="17"/>
                <c:pt idx="0">
                  <c:v>5.86</c:v>
                </c:pt>
                <c:pt idx="1">
                  <c:v>6.29</c:v>
                </c:pt>
                <c:pt idx="2">
                  <c:v>6.59</c:v>
                </c:pt>
                <c:pt idx="3">
                  <c:v>6.94</c:v>
                </c:pt>
                <c:pt idx="4">
                  <c:v>7.35</c:v>
                </c:pt>
                <c:pt idx="5">
                  <c:v>7.8</c:v>
                </c:pt>
                <c:pt idx="6">
                  <c:v>8.3000000000000007</c:v>
                </c:pt>
                <c:pt idx="7">
                  <c:v>8.39</c:v>
                </c:pt>
                <c:pt idx="8">
                  <c:v>9.48</c:v>
                </c:pt>
                <c:pt idx="9">
                  <c:v>10.19</c:v>
                </c:pt>
                <c:pt idx="10">
                  <c:v>10.97</c:v>
                </c:pt>
                <c:pt idx="11">
                  <c:v>11.84</c:v>
                </c:pt>
                <c:pt idx="12">
                  <c:v>7.56</c:v>
                </c:pt>
                <c:pt idx="13">
                  <c:v>8.01</c:v>
                </c:pt>
                <c:pt idx="14">
                  <c:v>8.7799999999999994</c:v>
                </c:pt>
                <c:pt idx="15">
                  <c:v>9.92</c:v>
                </c:pt>
                <c:pt idx="16">
                  <c:v>11.14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Arkusz1!$E$1</c:f>
              <c:strCache>
                <c:ptCount val="1"/>
                <c:pt idx="0">
                  <c:v>pz2=pz1=pzh</c:v>
                </c:pt>
              </c:strCache>
            </c:strRef>
          </c:tx>
          <c:marker>
            <c:symbol val="none"/>
          </c:marker>
          <c:cat>
            <c:numRef>
              <c:f>Arkusz1!$B$2:$B$18</c:f>
              <c:numCache>
                <c:formatCode>General</c:formatCode>
                <c:ptCount val="17"/>
                <c:pt idx="0">
                  <c:v>0.03</c:v>
                </c:pt>
                <c:pt idx="1">
                  <c:v>0.18</c:v>
                </c:pt>
                <c:pt idx="2">
                  <c:v>0.25</c:v>
                </c:pt>
                <c:pt idx="3">
                  <c:v>0.33</c:v>
                </c:pt>
                <c:pt idx="4">
                  <c:v>0.4</c:v>
                </c:pt>
                <c:pt idx="5">
                  <c:v>0.47</c:v>
                </c:pt>
                <c:pt idx="6">
                  <c:v>0.55000000000000004</c:v>
                </c:pt>
                <c:pt idx="7">
                  <c:v>0.62</c:v>
                </c:pt>
                <c:pt idx="8">
                  <c:v>0.7</c:v>
                </c:pt>
                <c:pt idx="9">
                  <c:v>0.78</c:v>
                </c:pt>
                <c:pt idx="10">
                  <c:v>0.87</c:v>
                </c:pt>
                <c:pt idx="11">
                  <c:v>0.95</c:v>
                </c:pt>
                <c:pt idx="12">
                  <c:v>0.09</c:v>
                </c:pt>
                <c:pt idx="13">
                  <c:v>0.28000000000000003</c:v>
                </c:pt>
                <c:pt idx="14">
                  <c:v>0.48</c:v>
                </c:pt>
                <c:pt idx="15">
                  <c:v>0.68</c:v>
                </c:pt>
                <c:pt idx="16">
                  <c:v>0.89</c:v>
                </c:pt>
              </c:numCache>
            </c:numRef>
          </c:cat>
          <c:val>
            <c:numRef>
              <c:f>Arkusz1!$E$2:$E$18</c:f>
              <c:numCache>
                <c:formatCode>General</c:formatCode>
                <c:ptCount val="17"/>
                <c:pt idx="0">
                  <c:v>12.16</c:v>
                </c:pt>
                <c:pt idx="1">
                  <c:v>12.16</c:v>
                </c:pt>
                <c:pt idx="2">
                  <c:v>12.16</c:v>
                </c:pt>
                <c:pt idx="3">
                  <c:v>12.16</c:v>
                </c:pt>
                <c:pt idx="4">
                  <c:v>12.16</c:v>
                </c:pt>
                <c:pt idx="5">
                  <c:v>12.16</c:v>
                </c:pt>
                <c:pt idx="6">
                  <c:v>12.16</c:v>
                </c:pt>
                <c:pt idx="7">
                  <c:v>12.16</c:v>
                </c:pt>
                <c:pt idx="8">
                  <c:v>12.16</c:v>
                </c:pt>
                <c:pt idx="9">
                  <c:v>12.16</c:v>
                </c:pt>
                <c:pt idx="10">
                  <c:v>12.16</c:v>
                </c:pt>
                <c:pt idx="11">
                  <c:v>12.16</c:v>
                </c:pt>
                <c:pt idx="12">
                  <c:v>12.16</c:v>
                </c:pt>
                <c:pt idx="13">
                  <c:v>12.16</c:v>
                </c:pt>
                <c:pt idx="14">
                  <c:v>12.16</c:v>
                </c:pt>
                <c:pt idx="15">
                  <c:v>12.16</c:v>
                </c:pt>
                <c:pt idx="16">
                  <c:v>12.16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Arkusz1!$F$1</c:f>
              <c:strCache>
                <c:ptCount val="1"/>
                <c:pt idx="0">
                  <c:v>Pr</c:v>
                </c:pt>
              </c:strCache>
            </c:strRef>
          </c:tx>
          <c:marker>
            <c:symbol val="none"/>
          </c:marker>
          <c:cat>
            <c:numRef>
              <c:f>Arkusz1!$B$2:$B$18</c:f>
              <c:numCache>
                <c:formatCode>General</c:formatCode>
                <c:ptCount val="17"/>
                <c:pt idx="0">
                  <c:v>0.03</c:v>
                </c:pt>
                <c:pt idx="1">
                  <c:v>0.18</c:v>
                </c:pt>
                <c:pt idx="2">
                  <c:v>0.25</c:v>
                </c:pt>
                <c:pt idx="3">
                  <c:v>0.33</c:v>
                </c:pt>
                <c:pt idx="4">
                  <c:v>0.4</c:v>
                </c:pt>
                <c:pt idx="5">
                  <c:v>0.47</c:v>
                </c:pt>
                <c:pt idx="6">
                  <c:v>0.55000000000000004</c:v>
                </c:pt>
                <c:pt idx="7">
                  <c:v>0.62</c:v>
                </c:pt>
                <c:pt idx="8">
                  <c:v>0.7</c:v>
                </c:pt>
                <c:pt idx="9">
                  <c:v>0.78</c:v>
                </c:pt>
                <c:pt idx="10">
                  <c:v>0.87</c:v>
                </c:pt>
                <c:pt idx="11">
                  <c:v>0.95</c:v>
                </c:pt>
                <c:pt idx="12">
                  <c:v>0.09</c:v>
                </c:pt>
                <c:pt idx="13">
                  <c:v>0.28000000000000003</c:v>
                </c:pt>
                <c:pt idx="14">
                  <c:v>0.48</c:v>
                </c:pt>
                <c:pt idx="15">
                  <c:v>0.68</c:v>
                </c:pt>
                <c:pt idx="16">
                  <c:v>0.89</c:v>
                </c:pt>
              </c:numCache>
            </c:numRef>
          </c:cat>
          <c:val>
            <c:numRef>
              <c:f>Arkusz1!$F$2:$F$18</c:f>
              <c:numCache>
                <c:formatCode>General</c:formatCode>
                <c:ptCount val="17"/>
                <c:pt idx="2">
                  <c:v>2.25</c:v>
                </c:pt>
                <c:pt idx="3">
                  <c:v>2.2000000000000002</c:v>
                </c:pt>
                <c:pt idx="4">
                  <c:v>2.16</c:v>
                </c:pt>
                <c:pt idx="5">
                  <c:v>2.13</c:v>
                </c:pt>
                <c:pt idx="6">
                  <c:v>2.11</c:v>
                </c:pt>
                <c:pt idx="7">
                  <c:v>2.11</c:v>
                </c:pt>
                <c:pt idx="8">
                  <c:v>2.11</c:v>
                </c:pt>
                <c:pt idx="9">
                  <c:v>2.12</c:v>
                </c:pt>
                <c:pt idx="10">
                  <c:v>2.14</c:v>
                </c:pt>
                <c:pt idx="11">
                  <c:v>2.16</c:v>
                </c:pt>
                <c:pt idx="12">
                  <c:v>2.11</c:v>
                </c:pt>
                <c:pt idx="13">
                  <c:v>2.0099999999999998</c:v>
                </c:pt>
                <c:pt idx="14">
                  <c:v>1.95</c:v>
                </c:pt>
                <c:pt idx="15">
                  <c:v>1.93</c:v>
                </c:pt>
                <c:pt idx="16">
                  <c:v>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968320"/>
        <c:axId val="206717504"/>
      </c:lineChart>
      <c:catAx>
        <c:axId val="206968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717504"/>
        <c:crosses val="autoZero"/>
        <c:auto val="1"/>
        <c:lblAlgn val="ctr"/>
        <c:lblOffset val="100"/>
        <c:noMultiLvlLbl val="0"/>
      </c:catAx>
      <c:valAx>
        <c:axId val="206717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6968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'wykres p_zk'!$B$1</c:f>
              <c:strCache>
                <c:ptCount val="1"/>
                <c:pt idx="0">
                  <c:v>p_0</c:v>
                </c:pt>
              </c:strCache>
            </c:strRef>
          </c:tx>
          <c:marker>
            <c:symbol val="none"/>
          </c:marker>
          <c:cat>
            <c:numRef>
              <c:f>'wykres p_zk'!$A$2:$A$36</c:f>
              <c:numCache>
                <c:formatCode>General</c:formatCode>
                <c:ptCount val="35"/>
                <c:pt idx="0">
                  <c:v>315</c:v>
                </c:pt>
                <c:pt idx="1">
                  <c:v>325</c:v>
                </c:pt>
                <c:pt idx="2">
                  <c:v>335</c:v>
                </c:pt>
                <c:pt idx="3">
                  <c:v>345</c:v>
                </c:pt>
                <c:pt idx="4">
                  <c:v>355</c:v>
                </c:pt>
                <c:pt idx="5">
                  <c:v>365</c:v>
                </c:pt>
                <c:pt idx="6">
                  <c:v>375</c:v>
                </c:pt>
                <c:pt idx="7">
                  <c:v>385</c:v>
                </c:pt>
                <c:pt idx="8">
                  <c:v>395</c:v>
                </c:pt>
                <c:pt idx="9">
                  <c:v>405</c:v>
                </c:pt>
                <c:pt idx="10">
                  <c:v>415</c:v>
                </c:pt>
                <c:pt idx="11">
                  <c:v>425</c:v>
                </c:pt>
                <c:pt idx="12">
                  <c:v>435</c:v>
                </c:pt>
                <c:pt idx="13">
                  <c:v>445</c:v>
                </c:pt>
                <c:pt idx="14">
                  <c:v>455</c:v>
                </c:pt>
                <c:pt idx="15">
                  <c:v>465</c:v>
                </c:pt>
                <c:pt idx="16">
                  <c:v>475</c:v>
                </c:pt>
                <c:pt idx="17">
                  <c:v>485</c:v>
                </c:pt>
                <c:pt idx="18">
                  <c:v>495</c:v>
                </c:pt>
                <c:pt idx="19">
                  <c:v>505</c:v>
                </c:pt>
                <c:pt idx="20">
                  <c:v>515</c:v>
                </c:pt>
                <c:pt idx="21">
                  <c:v>525</c:v>
                </c:pt>
                <c:pt idx="22">
                  <c:v>535</c:v>
                </c:pt>
                <c:pt idx="23">
                  <c:v>545</c:v>
                </c:pt>
                <c:pt idx="24">
                  <c:v>555</c:v>
                </c:pt>
                <c:pt idx="25">
                  <c:v>565</c:v>
                </c:pt>
                <c:pt idx="26">
                  <c:v>575</c:v>
                </c:pt>
                <c:pt idx="27">
                  <c:v>585</c:v>
                </c:pt>
                <c:pt idx="28">
                  <c:v>595</c:v>
                </c:pt>
                <c:pt idx="29">
                  <c:v>605</c:v>
                </c:pt>
                <c:pt idx="30">
                  <c:v>615</c:v>
                </c:pt>
                <c:pt idx="31">
                  <c:v>625</c:v>
                </c:pt>
                <c:pt idx="32">
                  <c:v>635</c:v>
                </c:pt>
                <c:pt idx="33">
                  <c:v>645</c:v>
                </c:pt>
                <c:pt idx="34">
                  <c:v>655</c:v>
                </c:pt>
              </c:numCache>
            </c:numRef>
          </c:cat>
          <c:val>
            <c:numRef>
              <c:f>'wykres p_zk'!$B$40:$B$74</c:f>
              <c:numCache>
                <c:formatCode>0.00</c:formatCode>
                <c:ptCount val="35"/>
                <c:pt idx="0">
                  <c:v>12.8</c:v>
                </c:pt>
                <c:pt idx="1">
                  <c:v>12.8</c:v>
                </c:pt>
                <c:pt idx="2">
                  <c:v>12.8</c:v>
                </c:pt>
                <c:pt idx="3">
                  <c:v>12.8</c:v>
                </c:pt>
                <c:pt idx="4">
                  <c:v>12.8</c:v>
                </c:pt>
                <c:pt idx="5">
                  <c:v>12.8</c:v>
                </c:pt>
                <c:pt idx="6">
                  <c:v>12.8</c:v>
                </c:pt>
                <c:pt idx="7">
                  <c:v>12.8</c:v>
                </c:pt>
                <c:pt idx="8">
                  <c:v>12.8</c:v>
                </c:pt>
                <c:pt idx="9">
                  <c:v>12.8</c:v>
                </c:pt>
                <c:pt idx="10">
                  <c:v>12.8</c:v>
                </c:pt>
                <c:pt idx="11">
                  <c:v>12.8</c:v>
                </c:pt>
                <c:pt idx="12">
                  <c:v>12.8</c:v>
                </c:pt>
                <c:pt idx="13">
                  <c:v>12.8</c:v>
                </c:pt>
                <c:pt idx="14">
                  <c:v>12.8</c:v>
                </c:pt>
                <c:pt idx="15">
                  <c:v>12.8</c:v>
                </c:pt>
                <c:pt idx="16">
                  <c:v>12.8</c:v>
                </c:pt>
                <c:pt idx="17">
                  <c:v>12.8</c:v>
                </c:pt>
                <c:pt idx="18">
                  <c:v>12.8</c:v>
                </c:pt>
                <c:pt idx="19">
                  <c:v>12.8</c:v>
                </c:pt>
                <c:pt idx="20">
                  <c:v>12.8</c:v>
                </c:pt>
                <c:pt idx="21">
                  <c:v>12.8</c:v>
                </c:pt>
                <c:pt idx="22">
                  <c:v>12.8</c:v>
                </c:pt>
                <c:pt idx="23">
                  <c:v>12.8</c:v>
                </c:pt>
                <c:pt idx="24">
                  <c:v>12.8</c:v>
                </c:pt>
                <c:pt idx="25">
                  <c:v>12.8</c:v>
                </c:pt>
                <c:pt idx="26">
                  <c:v>12.8</c:v>
                </c:pt>
                <c:pt idx="27">
                  <c:v>12.8</c:v>
                </c:pt>
                <c:pt idx="28">
                  <c:v>12.8</c:v>
                </c:pt>
                <c:pt idx="29">
                  <c:v>12.8</c:v>
                </c:pt>
                <c:pt idx="30">
                  <c:v>12.8</c:v>
                </c:pt>
                <c:pt idx="31">
                  <c:v>12.8</c:v>
                </c:pt>
                <c:pt idx="32">
                  <c:v>12.8</c:v>
                </c:pt>
                <c:pt idx="33">
                  <c:v>12.8</c:v>
                </c:pt>
                <c:pt idx="34">
                  <c:v>12.8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'wykres p_zk'!$E$1</c:f>
              <c:strCache>
                <c:ptCount val="1"/>
                <c:pt idx="0">
                  <c:v>p_z1</c:v>
                </c:pt>
              </c:strCache>
            </c:strRef>
          </c:tx>
          <c:marker>
            <c:symbol val="none"/>
          </c:marker>
          <c:cat>
            <c:numRef>
              <c:f>'wykres p_zk'!$A$2:$A$36</c:f>
              <c:numCache>
                <c:formatCode>General</c:formatCode>
                <c:ptCount val="35"/>
                <c:pt idx="0">
                  <c:v>315</c:v>
                </c:pt>
                <c:pt idx="1">
                  <c:v>325</c:v>
                </c:pt>
                <c:pt idx="2">
                  <c:v>335</c:v>
                </c:pt>
                <c:pt idx="3">
                  <c:v>345</c:v>
                </c:pt>
                <c:pt idx="4">
                  <c:v>355</c:v>
                </c:pt>
                <c:pt idx="5">
                  <c:v>365</c:v>
                </c:pt>
                <c:pt idx="6">
                  <c:v>375</c:v>
                </c:pt>
                <c:pt idx="7">
                  <c:v>385</c:v>
                </c:pt>
                <c:pt idx="8">
                  <c:v>395</c:v>
                </c:pt>
                <c:pt idx="9">
                  <c:v>405</c:v>
                </c:pt>
                <c:pt idx="10">
                  <c:v>415</c:v>
                </c:pt>
                <c:pt idx="11">
                  <c:v>425</c:v>
                </c:pt>
                <c:pt idx="12">
                  <c:v>435</c:v>
                </c:pt>
                <c:pt idx="13">
                  <c:v>445</c:v>
                </c:pt>
                <c:pt idx="14">
                  <c:v>455</c:v>
                </c:pt>
                <c:pt idx="15">
                  <c:v>465</c:v>
                </c:pt>
                <c:pt idx="16">
                  <c:v>475</c:v>
                </c:pt>
                <c:pt idx="17">
                  <c:v>485</c:v>
                </c:pt>
                <c:pt idx="18">
                  <c:v>495</c:v>
                </c:pt>
                <c:pt idx="19">
                  <c:v>505</c:v>
                </c:pt>
                <c:pt idx="20">
                  <c:v>515</c:v>
                </c:pt>
                <c:pt idx="21">
                  <c:v>525</c:v>
                </c:pt>
                <c:pt idx="22">
                  <c:v>535</c:v>
                </c:pt>
                <c:pt idx="23">
                  <c:v>545</c:v>
                </c:pt>
                <c:pt idx="24">
                  <c:v>555</c:v>
                </c:pt>
                <c:pt idx="25">
                  <c:v>565</c:v>
                </c:pt>
                <c:pt idx="26">
                  <c:v>575</c:v>
                </c:pt>
                <c:pt idx="27">
                  <c:v>585</c:v>
                </c:pt>
                <c:pt idx="28">
                  <c:v>595</c:v>
                </c:pt>
                <c:pt idx="29">
                  <c:v>605</c:v>
                </c:pt>
                <c:pt idx="30">
                  <c:v>615</c:v>
                </c:pt>
                <c:pt idx="31">
                  <c:v>625</c:v>
                </c:pt>
                <c:pt idx="32">
                  <c:v>635</c:v>
                </c:pt>
                <c:pt idx="33">
                  <c:v>645</c:v>
                </c:pt>
                <c:pt idx="34">
                  <c:v>655</c:v>
                </c:pt>
              </c:numCache>
            </c:numRef>
          </c:cat>
          <c:val>
            <c:numRef>
              <c:f>'wykres p_zk'!$E$40:$E$74</c:f>
              <c:numCache>
                <c:formatCode>0.00</c:formatCode>
                <c:ptCount val="35"/>
                <c:pt idx="0">
                  <c:v>12.416</c:v>
                </c:pt>
                <c:pt idx="1">
                  <c:v>12.416</c:v>
                </c:pt>
                <c:pt idx="2">
                  <c:v>12.416</c:v>
                </c:pt>
                <c:pt idx="3">
                  <c:v>12.416</c:v>
                </c:pt>
                <c:pt idx="4">
                  <c:v>12.416</c:v>
                </c:pt>
                <c:pt idx="5">
                  <c:v>12.416</c:v>
                </c:pt>
                <c:pt idx="6">
                  <c:v>12.416</c:v>
                </c:pt>
                <c:pt idx="7">
                  <c:v>12.416</c:v>
                </c:pt>
                <c:pt idx="8">
                  <c:v>12.416</c:v>
                </c:pt>
                <c:pt idx="9">
                  <c:v>12.416</c:v>
                </c:pt>
                <c:pt idx="10">
                  <c:v>12.416</c:v>
                </c:pt>
                <c:pt idx="11">
                  <c:v>12.416</c:v>
                </c:pt>
                <c:pt idx="12">
                  <c:v>12.416</c:v>
                </c:pt>
                <c:pt idx="13">
                  <c:v>12.416</c:v>
                </c:pt>
                <c:pt idx="14">
                  <c:v>12.416</c:v>
                </c:pt>
                <c:pt idx="15">
                  <c:v>12.416</c:v>
                </c:pt>
                <c:pt idx="16">
                  <c:v>12.416</c:v>
                </c:pt>
                <c:pt idx="17">
                  <c:v>12.416</c:v>
                </c:pt>
                <c:pt idx="18">
                  <c:v>12.416</c:v>
                </c:pt>
                <c:pt idx="19">
                  <c:v>12.416</c:v>
                </c:pt>
                <c:pt idx="20">
                  <c:v>12.416</c:v>
                </c:pt>
                <c:pt idx="21">
                  <c:v>12.416</c:v>
                </c:pt>
                <c:pt idx="22">
                  <c:v>12.416</c:v>
                </c:pt>
                <c:pt idx="23">
                  <c:v>12.416</c:v>
                </c:pt>
                <c:pt idx="24">
                  <c:v>12.416</c:v>
                </c:pt>
                <c:pt idx="25">
                  <c:v>12.416</c:v>
                </c:pt>
                <c:pt idx="26">
                  <c:v>12.416</c:v>
                </c:pt>
                <c:pt idx="27">
                  <c:v>12.416</c:v>
                </c:pt>
                <c:pt idx="28">
                  <c:v>12.416</c:v>
                </c:pt>
                <c:pt idx="29">
                  <c:v>12.416</c:v>
                </c:pt>
                <c:pt idx="30">
                  <c:v>12.416</c:v>
                </c:pt>
                <c:pt idx="31">
                  <c:v>12.416</c:v>
                </c:pt>
                <c:pt idx="32">
                  <c:v>12.416</c:v>
                </c:pt>
                <c:pt idx="33">
                  <c:v>12.416</c:v>
                </c:pt>
                <c:pt idx="34">
                  <c:v>12.416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'wykres p_zk'!$F$1</c:f>
              <c:strCache>
                <c:ptCount val="1"/>
                <c:pt idx="0">
                  <c:v>p_z2</c:v>
                </c:pt>
              </c:strCache>
            </c:strRef>
          </c:tx>
          <c:marker>
            <c:symbol val="none"/>
          </c:marker>
          <c:cat>
            <c:numRef>
              <c:f>'wykres p_zk'!$A$2:$A$36</c:f>
              <c:numCache>
                <c:formatCode>General</c:formatCode>
                <c:ptCount val="35"/>
                <c:pt idx="0">
                  <c:v>315</c:v>
                </c:pt>
                <c:pt idx="1">
                  <c:v>325</c:v>
                </c:pt>
                <c:pt idx="2">
                  <c:v>335</c:v>
                </c:pt>
                <c:pt idx="3">
                  <c:v>345</c:v>
                </c:pt>
                <c:pt idx="4">
                  <c:v>355</c:v>
                </c:pt>
                <c:pt idx="5">
                  <c:v>365</c:v>
                </c:pt>
                <c:pt idx="6">
                  <c:v>375</c:v>
                </c:pt>
                <c:pt idx="7">
                  <c:v>385</c:v>
                </c:pt>
                <c:pt idx="8">
                  <c:v>395</c:v>
                </c:pt>
                <c:pt idx="9">
                  <c:v>405</c:v>
                </c:pt>
                <c:pt idx="10">
                  <c:v>415</c:v>
                </c:pt>
                <c:pt idx="11">
                  <c:v>425</c:v>
                </c:pt>
                <c:pt idx="12">
                  <c:v>435</c:v>
                </c:pt>
                <c:pt idx="13">
                  <c:v>445</c:v>
                </c:pt>
                <c:pt idx="14">
                  <c:v>455</c:v>
                </c:pt>
                <c:pt idx="15">
                  <c:v>465</c:v>
                </c:pt>
                <c:pt idx="16">
                  <c:v>475</c:v>
                </c:pt>
                <c:pt idx="17">
                  <c:v>485</c:v>
                </c:pt>
                <c:pt idx="18">
                  <c:v>495</c:v>
                </c:pt>
                <c:pt idx="19">
                  <c:v>505</c:v>
                </c:pt>
                <c:pt idx="20">
                  <c:v>515</c:v>
                </c:pt>
                <c:pt idx="21">
                  <c:v>525</c:v>
                </c:pt>
                <c:pt idx="22">
                  <c:v>535</c:v>
                </c:pt>
                <c:pt idx="23">
                  <c:v>545</c:v>
                </c:pt>
                <c:pt idx="24">
                  <c:v>555</c:v>
                </c:pt>
                <c:pt idx="25">
                  <c:v>565</c:v>
                </c:pt>
                <c:pt idx="26">
                  <c:v>575</c:v>
                </c:pt>
                <c:pt idx="27">
                  <c:v>585</c:v>
                </c:pt>
                <c:pt idx="28">
                  <c:v>595</c:v>
                </c:pt>
                <c:pt idx="29">
                  <c:v>605</c:v>
                </c:pt>
                <c:pt idx="30">
                  <c:v>615</c:v>
                </c:pt>
                <c:pt idx="31">
                  <c:v>625</c:v>
                </c:pt>
                <c:pt idx="32">
                  <c:v>635</c:v>
                </c:pt>
                <c:pt idx="33">
                  <c:v>645</c:v>
                </c:pt>
                <c:pt idx="34">
                  <c:v>655</c:v>
                </c:pt>
              </c:numCache>
            </c:numRef>
          </c:cat>
          <c:val>
            <c:numRef>
              <c:f>'wykres p_zk'!$F$40:$F$74</c:f>
              <c:numCache>
                <c:formatCode>0.00</c:formatCode>
                <c:ptCount val="35"/>
                <c:pt idx="0">
                  <c:v>4.3441271078449999</c:v>
                </c:pt>
                <c:pt idx="1">
                  <c:v>4.7278255695449998</c:v>
                </c:pt>
                <c:pt idx="2">
                  <c:v>5.1548703834149991</c:v>
                </c:pt>
                <c:pt idx="3">
                  <c:v>5.6235948342970001</c:v>
                </c:pt>
                <c:pt idx="4">
                  <c:v>6.1327480636919995</c:v>
                </c:pt>
                <c:pt idx="5">
                  <c:v>6.6812415899740003</c:v>
                </c:pt>
                <c:pt idx="6">
                  <c:v>7.2683864249500001</c:v>
                </c:pt>
                <c:pt idx="7">
                  <c:v>7.8935919833139998</c:v>
                </c:pt>
                <c:pt idx="8">
                  <c:v>8.5565294397260008</c:v>
                </c:pt>
                <c:pt idx="9">
                  <c:v>9.2570441078249992</c:v>
                </c:pt>
                <c:pt idx="10">
                  <c:v>9.9761217401169997</c:v>
                </c:pt>
                <c:pt idx="11">
                  <c:v>10.695199372408998</c:v>
                </c:pt>
                <c:pt idx="12">
                  <c:v>11.414277004700999</c:v>
                </c:pt>
                <c:pt idx="13">
                  <c:v>12.133354636992999</c:v>
                </c:pt>
                <c:pt idx="14">
                  <c:v>12.416</c:v>
                </c:pt>
                <c:pt idx="15">
                  <c:v>12.416</c:v>
                </c:pt>
                <c:pt idx="16">
                  <c:v>12.416</c:v>
                </c:pt>
                <c:pt idx="17">
                  <c:v>12.416</c:v>
                </c:pt>
                <c:pt idx="18">
                  <c:v>12.416</c:v>
                </c:pt>
                <c:pt idx="19">
                  <c:v>12.416</c:v>
                </c:pt>
                <c:pt idx="20">
                  <c:v>12.416</c:v>
                </c:pt>
                <c:pt idx="21">
                  <c:v>12.416</c:v>
                </c:pt>
                <c:pt idx="22">
                  <c:v>12.416</c:v>
                </c:pt>
                <c:pt idx="23">
                  <c:v>12.416</c:v>
                </c:pt>
                <c:pt idx="24">
                  <c:v>12.416</c:v>
                </c:pt>
                <c:pt idx="25">
                  <c:v>12.416</c:v>
                </c:pt>
                <c:pt idx="26">
                  <c:v>12.416</c:v>
                </c:pt>
                <c:pt idx="27">
                  <c:v>12.416</c:v>
                </c:pt>
                <c:pt idx="28">
                  <c:v>12.416</c:v>
                </c:pt>
                <c:pt idx="29">
                  <c:v>12.416</c:v>
                </c:pt>
                <c:pt idx="30">
                  <c:v>12.416</c:v>
                </c:pt>
                <c:pt idx="31">
                  <c:v>12.416</c:v>
                </c:pt>
                <c:pt idx="32">
                  <c:v>12.416</c:v>
                </c:pt>
                <c:pt idx="33">
                  <c:v>12.416</c:v>
                </c:pt>
                <c:pt idx="34">
                  <c:v>12.416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'wykres p_zk'!$G$1</c:f>
              <c:strCache>
                <c:ptCount val="1"/>
                <c:pt idx="0">
                  <c:v>p_z3</c:v>
                </c:pt>
              </c:strCache>
            </c:strRef>
          </c:tx>
          <c:marker>
            <c:symbol val="none"/>
          </c:marker>
          <c:cat>
            <c:numRef>
              <c:f>'wykres p_zk'!$A$2:$A$36</c:f>
              <c:numCache>
                <c:formatCode>General</c:formatCode>
                <c:ptCount val="35"/>
                <c:pt idx="0">
                  <c:v>315</c:v>
                </c:pt>
                <c:pt idx="1">
                  <c:v>325</c:v>
                </c:pt>
                <c:pt idx="2">
                  <c:v>335</c:v>
                </c:pt>
                <c:pt idx="3">
                  <c:v>345</c:v>
                </c:pt>
                <c:pt idx="4">
                  <c:v>355</c:v>
                </c:pt>
                <c:pt idx="5">
                  <c:v>365</c:v>
                </c:pt>
                <c:pt idx="6">
                  <c:v>375</c:v>
                </c:pt>
                <c:pt idx="7">
                  <c:v>385</c:v>
                </c:pt>
                <c:pt idx="8">
                  <c:v>395</c:v>
                </c:pt>
                <c:pt idx="9">
                  <c:v>405</c:v>
                </c:pt>
                <c:pt idx="10">
                  <c:v>415</c:v>
                </c:pt>
                <c:pt idx="11">
                  <c:v>425</c:v>
                </c:pt>
                <c:pt idx="12">
                  <c:v>435</c:v>
                </c:pt>
                <c:pt idx="13">
                  <c:v>445</c:v>
                </c:pt>
                <c:pt idx="14">
                  <c:v>455</c:v>
                </c:pt>
                <c:pt idx="15">
                  <c:v>465</c:v>
                </c:pt>
                <c:pt idx="16">
                  <c:v>475</c:v>
                </c:pt>
                <c:pt idx="17">
                  <c:v>485</c:v>
                </c:pt>
                <c:pt idx="18">
                  <c:v>495</c:v>
                </c:pt>
                <c:pt idx="19">
                  <c:v>505</c:v>
                </c:pt>
                <c:pt idx="20">
                  <c:v>515</c:v>
                </c:pt>
                <c:pt idx="21">
                  <c:v>525</c:v>
                </c:pt>
                <c:pt idx="22">
                  <c:v>535</c:v>
                </c:pt>
                <c:pt idx="23">
                  <c:v>545</c:v>
                </c:pt>
                <c:pt idx="24">
                  <c:v>555</c:v>
                </c:pt>
                <c:pt idx="25">
                  <c:v>565</c:v>
                </c:pt>
                <c:pt idx="26">
                  <c:v>575</c:v>
                </c:pt>
                <c:pt idx="27">
                  <c:v>585</c:v>
                </c:pt>
                <c:pt idx="28">
                  <c:v>595</c:v>
                </c:pt>
                <c:pt idx="29">
                  <c:v>605</c:v>
                </c:pt>
                <c:pt idx="30">
                  <c:v>615</c:v>
                </c:pt>
                <c:pt idx="31">
                  <c:v>625</c:v>
                </c:pt>
                <c:pt idx="32">
                  <c:v>635</c:v>
                </c:pt>
                <c:pt idx="33">
                  <c:v>645</c:v>
                </c:pt>
                <c:pt idx="34">
                  <c:v>655</c:v>
                </c:pt>
              </c:numCache>
            </c:numRef>
          </c:cat>
          <c:val>
            <c:numRef>
              <c:f>'wykres p_zk'!$G$40:$G$74</c:f>
              <c:numCache>
                <c:formatCode>0.00</c:formatCode>
                <c:ptCount val="35"/>
                <c:pt idx="0">
                  <c:v>3.8853751934409999</c:v>
                </c:pt>
                <c:pt idx="1">
                  <c:v>4.022179747489</c:v>
                </c:pt>
                <c:pt idx="2">
                  <c:v>4.1563370592720004</c:v>
                </c:pt>
                <c:pt idx="3">
                  <c:v>4.2883320437599997</c:v>
                </c:pt>
                <c:pt idx="4">
                  <c:v>4.418635656368</c:v>
                </c:pt>
                <c:pt idx="5">
                  <c:v>4.5474312717779997</c:v>
                </c:pt>
                <c:pt idx="6">
                  <c:v>4.6751068165809997</c:v>
                </c:pt>
                <c:pt idx="7">
                  <c:v>4.801768195418</c:v>
                </c:pt>
                <c:pt idx="8">
                  <c:v>4.9276103767879995</c:v>
                </c:pt>
                <c:pt idx="9">
                  <c:v>5.0528697268430003</c:v>
                </c:pt>
                <c:pt idx="10">
                  <c:v>5.1775519812219999</c:v>
                </c:pt>
                <c:pt idx="11">
                  <c:v>5.3022511724210002</c:v>
                </c:pt>
                <c:pt idx="12">
                  <c:v>5.4270339080629997</c:v>
                </c:pt>
                <c:pt idx="13">
                  <c:v>5.5519232523079998</c:v>
                </c:pt>
                <c:pt idx="14">
                  <c:v>5.7043297149469998</c:v>
                </c:pt>
                <c:pt idx="15">
                  <c:v>5.9214377555090003</c:v>
                </c:pt>
                <c:pt idx="16">
                  <c:v>6.1940309925520003</c:v>
                </c:pt>
                <c:pt idx="17">
                  <c:v>6.5191064650180008</c:v>
                </c:pt>
                <c:pt idx="18">
                  <c:v>6.8944077042440002</c:v>
                </c:pt>
                <c:pt idx="19">
                  <c:v>7.3182173931339998</c:v>
                </c:pt>
                <c:pt idx="20">
                  <c:v>7.7889975246230003</c:v>
                </c:pt>
                <c:pt idx="21">
                  <c:v>8.3057666224499993</c:v>
                </c:pt>
                <c:pt idx="22">
                  <c:v>8.8679163238090002</c:v>
                </c:pt>
                <c:pt idx="23">
                  <c:v>9.485995352510999</c:v>
                </c:pt>
                <c:pt idx="24">
                  <c:v>10.169133553296</c:v>
                </c:pt>
                <c:pt idx="25">
                  <c:v>10.923271976140001</c:v>
                </c:pt>
                <c:pt idx="26">
                  <c:v>11.755655808758</c:v>
                </c:pt>
                <c:pt idx="27">
                  <c:v>12.416</c:v>
                </c:pt>
                <c:pt idx="28">
                  <c:v>12.416</c:v>
                </c:pt>
                <c:pt idx="29">
                  <c:v>12.416</c:v>
                </c:pt>
                <c:pt idx="30">
                  <c:v>12.416</c:v>
                </c:pt>
                <c:pt idx="31">
                  <c:v>12.416</c:v>
                </c:pt>
                <c:pt idx="32">
                  <c:v>12.416</c:v>
                </c:pt>
                <c:pt idx="33">
                  <c:v>12.416</c:v>
                </c:pt>
                <c:pt idx="34">
                  <c:v>12.416</c:v>
                </c:pt>
              </c:numCache>
            </c:numRef>
          </c:val>
          <c:smooth val="0"/>
        </c:ser>
        <c:ser>
          <c:idx val="6"/>
          <c:order val="4"/>
          <c:tx>
            <c:strRef>
              <c:f>'wykres p_zk'!$H$1</c:f>
              <c:strCache>
                <c:ptCount val="1"/>
                <c:pt idx="0">
                  <c:v>p_z4</c:v>
                </c:pt>
              </c:strCache>
            </c:strRef>
          </c:tx>
          <c:marker>
            <c:symbol val="none"/>
          </c:marker>
          <c:cat>
            <c:numRef>
              <c:f>'wykres p_zk'!$A$2:$A$36</c:f>
              <c:numCache>
                <c:formatCode>General</c:formatCode>
                <c:ptCount val="35"/>
                <c:pt idx="0">
                  <c:v>315</c:v>
                </c:pt>
                <c:pt idx="1">
                  <c:v>325</c:v>
                </c:pt>
                <c:pt idx="2">
                  <c:v>335</c:v>
                </c:pt>
                <c:pt idx="3">
                  <c:v>345</c:v>
                </c:pt>
                <c:pt idx="4">
                  <c:v>355</c:v>
                </c:pt>
                <c:pt idx="5">
                  <c:v>365</c:v>
                </c:pt>
                <c:pt idx="6">
                  <c:v>375</c:v>
                </c:pt>
                <c:pt idx="7">
                  <c:v>385</c:v>
                </c:pt>
                <c:pt idx="8">
                  <c:v>395</c:v>
                </c:pt>
                <c:pt idx="9">
                  <c:v>405</c:v>
                </c:pt>
                <c:pt idx="10">
                  <c:v>415</c:v>
                </c:pt>
                <c:pt idx="11">
                  <c:v>425</c:v>
                </c:pt>
                <c:pt idx="12">
                  <c:v>435</c:v>
                </c:pt>
                <c:pt idx="13">
                  <c:v>445</c:v>
                </c:pt>
                <c:pt idx="14">
                  <c:v>455</c:v>
                </c:pt>
                <c:pt idx="15">
                  <c:v>465</c:v>
                </c:pt>
                <c:pt idx="16">
                  <c:v>475</c:v>
                </c:pt>
                <c:pt idx="17">
                  <c:v>485</c:v>
                </c:pt>
                <c:pt idx="18">
                  <c:v>495</c:v>
                </c:pt>
                <c:pt idx="19">
                  <c:v>505</c:v>
                </c:pt>
                <c:pt idx="20">
                  <c:v>515</c:v>
                </c:pt>
                <c:pt idx="21">
                  <c:v>525</c:v>
                </c:pt>
                <c:pt idx="22">
                  <c:v>535</c:v>
                </c:pt>
                <c:pt idx="23">
                  <c:v>545</c:v>
                </c:pt>
                <c:pt idx="24">
                  <c:v>555</c:v>
                </c:pt>
                <c:pt idx="25">
                  <c:v>565</c:v>
                </c:pt>
                <c:pt idx="26">
                  <c:v>575</c:v>
                </c:pt>
                <c:pt idx="27">
                  <c:v>585</c:v>
                </c:pt>
                <c:pt idx="28">
                  <c:v>595</c:v>
                </c:pt>
                <c:pt idx="29">
                  <c:v>605</c:v>
                </c:pt>
                <c:pt idx="30">
                  <c:v>615</c:v>
                </c:pt>
                <c:pt idx="31">
                  <c:v>625</c:v>
                </c:pt>
                <c:pt idx="32">
                  <c:v>635</c:v>
                </c:pt>
                <c:pt idx="33">
                  <c:v>645</c:v>
                </c:pt>
                <c:pt idx="34">
                  <c:v>655</c:v>
                </c:pt>
              </c:numCache>
            </c:numRef>
          </c:cat>
          <c:val>
            <c:numRef>
              <c:f>'wykres p_zk'!$H$40:$H$74</c:f>
              <c:numCache>
                <c:formatCode>0.00</c:formatCode>
                <c:ptCount val="35"/>
                <c:pt idx="0">
                  <c:v>3.8853751934409999</c:v>
                </c:pt>
                <c:pt idx="1">
                  <c:v>4.022179747489</c:v>
                </c:pt>
                <c:pt idx="2">
                  <c:v>4.1563370592720004</c:v>
                </c:pt>
                <c:pt idx="3">
                  <c:v>4.2883320437599997</c:v>
                </c:pt>
                <c:pt idx="4">
                  <c:v>4.418635656368</c:v>
                </c:pt>
                <c:pt idx="5">
                  <c:v>4.5474312717779997</c:v>
                </c:pt>
                <c:pt idx="6">
                  <c:v>4.6751068165809997</c:v>
                </c:pt>
                <c:pt idx="7">
                  <c:v>4.801768195418</c:v>
                </c:pt>
                <c:pt idx="8">
                  <c:v>4.9276103767879995</c:v>
                </c:pt>
                <c:pt idx="9">
                  <c:v>5.0528697268430003</c:v>
                </c:pt>
                <c:pt idx="10">
                  <c:v>5.1775519812219999</c:v>
                </c:pt>
                <c:pt idx="11">
                  <c:v>5.3022511724210002</c:v>
                </c:pt>
                <c:pt idx="12">
                  <c:v>5.4270339080629997</c:v>
                </c:pt>
                <c:pt idx="13">
                  <c:v>5.5519232523079998</c:v>
                </c:pt>
                <c:pt idx="14">
                  <c:v>5.6924591485959999</c:v>
                </c:pt>
                <c:pt idx="15">
                  <c:v>5.840234165979</c:v>
                </c:pt>
                <c:pt idx="16">
                  <c:v>5.9850390081439997</c:v>
                </c:pt>
                <c:pt idx="17">
                  <c:v>6.1271486046139998</c:v>
                </c:pt>
                <c:pt idx="18">
                  <c:v>6.266935644258</c:v>
                </c:pt>
                <c:pt idx="19">
                  <c:v>6.4048132555950001</c:v>
                </c:pt>
                <c:pt idx="20">
                  <c:v>6.5409366280070005</c:v>
                </c:pt>
                <c:pt idx="21">
                  <c:v>6.6757291629870004</c:v>
                </c:pt>
                <c:pt idx="22">
                  <c:v>6.8092647691500003</c:v>
                </c:pt>
                <c:pt idx="23">
                  <c:v>6.9415631105350002</c:v>
                </c:pt>
                <c:pt idx="24">
                  <c:v>7.0727962340100001</c:v>
                </c:pt>
                <c:pt idx="25">
                  <c:v>7.2029020374509996</c:v>
                </c:pt>
                <c:pt idx="26">
                  <c:v>7.3320830976</c:v>
                </c:pt>
                <c:pt idx="27">
                  <c:v>7.4720453171260006</c:v>
                </c:pt>
                <c:pt idx="28">
                  <c:v>7.7096678608440001</c:v>
                </c:pt>
                <c:pt idx="29">
                  <c:v>8.0784518224130011</c:v>
                </c:pt>
                <c:pt idx="30">
                  <c:v>8.5887235457990005</c:v>
                </c:pt>
                <c:pt idx="31">
                  <c:v>9.2538638393120003</c:v>
                </c:pt>
                <c:pt idx="32">
                  <c:v>10.090191571937</c:v>
                </c:pt>
                <c:pt idx="33">
                  <c:v>11.118573090748999</c:v>
                </c:pt>
                <c:pt idx="34">
                  <c:v>12.387453679770001</c:v>
                </c:pt>
              </c:numCache>
            </c:numRef>
          </c:val>
          <c:smooth val="0"/>
        </c:ser>
        <c:ser>
          <c:idx val="2"/>
          <c:order val="5"/>
          <c:tx>
            <c:strRef>
              <c:f>'wykres p_zk'!$D$1</c:f>
              <c:strCache>
                <c:ptCount val="1"/>
                <c:pt idx="0">
                  <c:v>p_r</c:v>
                </c:pt>
              </c:strCache>
            </c:strRef>
          </c:tx>
          <c:marker>
            <c:symbol val="none"/>
          </c:marker>
          <c:cat>
            <c:numRef>
              <c:f>'wykres p_zk'!$A$2:$A$36</c:f>
              <c:numCache>
                <c:formatCode>General</c:formatCode>
                <c:ptCount val="35"/>
                <c:pt idx="0">
                  <c:v>315</c:v>
                </c:pt>
                <c:pt idx="1">
                  <c:v>325</c:v>
                </c:pt>
                <c:pt idx="2">
                  <c:v>335</c:v>
                </c:pt>
                <c:pt idx="3">
                  <c:v>345</c:v>
                </c:pt>
                <c:pt idx="4">
                  <c:v>355</c:v>
                </c:pt>
                <c:pt idx="5">
                  <c:v>365</c:v>
                </c:pt>
                <c:pt idx="6">
                  <c:v>375</c:v>
                </c:pt>
                <c:pt idx="7">
                  <c:v>385</c:v>
                </c:pt>
                <c:pt idx="8">
                  <c:v>395</c:v>
                </c:pt>
                <c:pt idx="9">
                  <c:v>405</c:v>
                </c:pt>
                <c:pt idx="10">
                  <c:v>415</c:v>
                </c:pt>
                <c:pt idx="11">
                  <c:v>425</c:v>
                </c:pt>
                <c:pt idx="12">
                  <c:v>435</c:v>
                </c:pt>
                <c:pt idx="13">
                  <c:v>445</c:v>
                </c:pt>
                <c:pt idx="14">
                  <c:v>455</c:v>
                </c:pt>
                <c:pt idx="15">
                  <c:v>465</c:v>
                </c:pt>
                <c:pt idx="16">
                  <c:v>475</c:v>
                </c:pt>
                <c:pt idx="17">
                  <c:v>485</c:v>
                </c:pt>
                <c:pt idx="18">
                  <c:v>495</c:v>
                </c:pt>
                <c:pt idx="19">
                  <c:v>505</c:v>
                </c:pt>
                <c:pt idx="20">
                  <c:v>515</c:v>
                </c:pt>
                <c:pt idx="21">
                  <c:v>525</c:v>
                </c:pt>
                <c:pt idx="22">
                  <c:v>535</c:v>
                </c:pt>
                <c:pt idx="23">
                  <c:v>545</c:v>
                </c:pt>
                <c:pt idx="24">
                  <c:v>555</c:v>
                </c:pt>
                <c:pt idx="25">
                  <c:v>565</c:v>
                </c:pt>
                <c:pt idx="26">
                  <c:v>575</c:v>
                </c:pt>
                <c:pt idx="27">
                  <c:v>585</c:v>
                </c:pt>
                <c:pt idx="28">
                  <c:v>595</c:v>
                </c:pt>
                <c:pt idx="29">
                  <c:v>605</c:v>
                </c:pt>
                <c:pt idx="30">
                  <c:v>615</c:v>
                </c:pt>
                <c:pt idx="31">
                  <c:v>625</c:v>
                </c:pt>
                <c:pt idx="32">
                  <c:v>635</c:v>
                </c:pt>
                <c:pt idx="33">
                  <c:v>645</c:v>
                </c:pt>
                <c:pt idx="34">
                  <c:v>655</c:v>
                </c:pt>
              </c:numCache>
            </c:numRef>
          </c:cat>
          <c:val>
            <c:numRef>
              <c:f>'wykres p_zk'!$D$40:$D$74</c:f>
              <c:numCache>
                <c:formatCode>0.00</c:formatCode>
                <c:ptCount val="35"/>
                <c:pt idx="0">
                  <c:v>3.8853751934409999</c:v>
                </c:pt>
                <c:pt idx="1">
                  <c:v>4.022179747489</c:v>
                </c:pt>
                <c:pt idx="2">
                  <c:v>4.1563370592720004</c:v>
                </c:pt>
                <c:pt idx="3">
                  <c:v>4.2883320437599997</c:v>
                </c:pt>
                <c:pt idx="4">
                  <c:v>4.418635656368</c:v>
                </c:pt>
                <c:pt idx="5">
                  <c:v>4.5474312717779997</c:v>
                </c:pt>
                <c:pt idx="6">
                  <c:v>4.6751068165809997</c:v>
                </c:pt>
                <c:pt idx="7">
                  <c:v>4.801768195418</c:v>
                </c:pt>
                <c:pt idx="8">
                  <c:v>4.9276103767879995</c:v>
                </c:pt>
                <c:pt idx="9">
                  <c:v>5.0528697268430003</c:v>
                </c:pt>
                <c:pt idx="10">
                  <c:v>5.1775519812219999</c:v>
                </c:pt>
                <c:pt idx="11">
                  <c:v>5.3022511724210002</c:v>
                </c:pt>
                <c:pt idx="12">
                  <c:v>5.4270339080629997</c:v>
                </c:pt>
                <c:pt idx="13">
                  <c:v>5.5519232523079998</c:v>
                </c:pt>
                <c:pt idx="14">
                  <c:v>5.6924591485959999</c:v>
                </c:pt>
                <c:pt idx="15">
                  <c:v>5.840234165979</c:v>
                </c:pt>
                <c:pt idx="16">
                  <c:v>5.9850390081439997</c:v>
                </c:pt>
                <c:pt idx="17">
                  <c:v>6.1271486046139998</c:v>
                </c:pt>
                <c:pt idx="18">
                  <c:v>6.266935644258</c:v>
                </c:pt>
                <c:pt idx="19">
                  <c:v>6.4048132555950001</c:v>
                </c:pt>
                <c:pt idx="20">
                  <c:v>6.5409366280070005</c:v>
                </c:pt>
                <c:pt idx="21">
                  <c:v>6.6757291629870004</c:v>
                </c:pt>
                <c:pt idx="22">
                  <c:v>6.8092647691500003</c:v>
                </c:pt>
                <c:pt idx="23">
                  <c:v>6.9415631105350002</c:v>
                </c:pt>
                <c:pt idx="24">
                  <c:v>7.0727962340100001</c:v>
                </c:pt>
                <c:pt idx="25">
                  <c:v>7.2029020374509996</c:v>
                </c:pt>
                <c:pt idx="26">
                  <c:v>7.3320830976</c:v>
                </c:pt>
                <c:pt idx="27">
                  <c:v>7.4695825623110004</c:v>
                </c:pt>
                <c:pt idx="28">
                  <c:v>7.6178850865280001</c:v>
                </c:pt>
                <c:pt idx="29">
                  <c:v>7.7626886360469998</c:v>
                </c:pt>
                <c:pt idx="30">
                  <c:v>7.9040496807970007</c:v>
                </c:pt>
                <c:pt idx="31">
                  <c:v>8.0423431120039997</c:v>
                </c:pt>
                <c:pt idx="32">
                  <c:v>8.1777172679210004</c:v>
                </c:pt>
                <c:pt idx="33">
                  <c:v>8.310460169613</c:v>
                </c:pt>
                <c:pt idx="34">
                  <c:v>8.446592622243001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969856"/>
        <c:axId val="206720384"/>
      </c:lineChart>
      <c:catAx>
        <c:axId val="206969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m_0[t/h]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6720384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20672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l-PL"/>
                  <a:t>p[MPa]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2069698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117631104354363E-2"/>
          <c:y val="2.7055752287953549E-2"/>
          <c:w val="0.84777747977593132"/>
          <c:h val="0.84559980888548192"/>
        </c:manualLayout>
      </c:layout>
      <c:lineChart>
        <c:grouping val="standard"/>
        <c:varyColors val="0"/>
        <c:ser>
          <c:idx val="0"/>
          <c:order val="0"/>
          <c:tx>
            <c:strRef>
              <c:f>'wykres p_zk'!$I$1</c:f>
              <c:strCache>
                <c:ptCount val="1"/>
                <c:pt idx="0">
                  <c:v>m_z1</c:v>
                </c:pt>
              </c:strCache>
            </c:strRef>
          </c:tx>
          <c:marker>
            <c:symbol val="none"/>
          </c:marker>
          <c:cat>
            <c:numRef>
              <c:f>'wykres p_zk'!$A$2:$A$36</c:f>
              <c:numCache>
                <c:formatCode>General</c:formatCode>
                <c:ptCount val="35"/>
                <c:pt idx="0">
                  <c:v>315</c:v>
                </c:pt>
                <c:pt idx="1">
                  <c:v>325</c:v>
                </c:pt>
                <c:pt idx="2">
                  <c:v>335</c:v>
                </c:pt>
                <c:pt idx="3">
                  <c:v>345</c:v>
                </c:pt>
                <c:pt idx="4">
                  <c:v>355</c:v>
                </c:pt>
                <c:pt idx="5">
                  <c:v>365</c:v>
                </c:pt>
                <c:pt idx="6">
                  <c:v>375</c:v>
                </c:pt>
                <c:pt idx="7">
                  <c:v>385</c:v>
                </c:pt>
                <c:pt idx="8">
                  <c:v>395</c:v>
                </c:pt>
                <c:pt idx="9">
                  <c:v>405</c:v>
                </c:pt>
                <c:pt idx="10">
                  <c:v>415</c:v>
                </c:pt>
                <c:pt idx="11">
                  <c:v>425</c:v>
                </c:pt>
                <c:pt idx="12">
                  <c:v>435</c:v>
                </c:pt>
                <c:pt idx="13">
                  <c:v>445</c:v>
                </c:pt>
                <c:pt idx="14">
                  <c:v>455</c:v>
                </c:pt>
                <c:pt idx="15">
                  <c:v>465</c:v>
                </c:pt>
                <c:pt idx="16">
                  <c:v>475</c:v>
                </c:pt>
                <c:pt idx="17">
                  <c:v>485</c:v>
                </c:pt>
                <c:pt idx="18">
                  <c:v>495</c:v>
                </c:pt>
                <c:pt idx="19">
                  <c:v>505</c:v>
                </c:pt>
                <c:pt idx="20">
                  <c:v>515</c:v>
                </c:pt>
                <c:pt idx="21">
                  <c:v>525</c:v>
                </c:pt>
                <c:pt idx="22">
                  <c:v>535</c:v>
                </c:pt>
                <c:pt idx="23">
                  <c:v>545</c:v>
                </c:pt>
                <c:pt idx="24">
                  <c:v>555</c:v>
                </c:pt>
                <c:pt idx="25">
                  <c:v>565</c:v>
                </c:pt>
                <c:pt idx="26">
                  <c:v>575</c:v>
                </c:pt>
                <c:pt idx="27">
                  <c:v>585</c:v>
                </c:pt>
                <c:pt idx="28">
                  <c:v>595</c:v>
                </c:pt>
                <c:pt idx="29">
                  <c:v>605</c:v>
                </c:pt>
                <c:pt idx="30">
                  <c:v>615</c:v>
                </c:pt>
                <c:pt idx="31">
                  <c:v>625</c:v>
                </c:pt>
                <c:pt idx="32">
                  <c:v>635</c:v>
                </c:pt>
                <c:pt idx="33">
                  <c:v>645</c:v>
                </c:pt>
                <c:pt idx="34">
                  <c:v>655</c:v>
                </c:pt>
              </c:numCache>
            </c:numRef>
          </c:cat>
          <c:val>
            <c:numRef>
              <c:f>'wykres p_zk'!$I$2:$I$36</c:f>
              <c:numCache>
                <c:formatCode>0</c:formatCode>
                <c:ptCount val="35"/>
                <c:pt idx="0">
                  <c:v>276.26502499999998</c:v>
                </c:pt>
                <c:pt idx="1">
                  <c:v>276.26502499999998</c:v>
                </c:pt>
                <c:pt idx="2">
                  <c:v>276.26502499999998</c:v>
                </c:pt>
                <c:pt idx="3">
                  <c:v>276.26502499999998</c:v>
                </c:pt>
                <c:pt idx="4">
                  <c:v>276.26502499999998</c:v>
                </c:pt>
                <c:pt idx="5">
                  <c:v>276.26502499999998</c:v>
                </c:pt>
                <c:pt idx="6">
                  <c:v>276.26502499999998</c:v>
                </c:pt>
                <c:pt idx="7">
                  <c:v>276.26502499999998</c:v>
                </c:pt>
                <c:pt idx="8">
                  <c:v>276.26502499999998</c:v>
                </c:pt>
                <c:pt idx="9">
                  <c:v>276.26502499999998</c:v>
                </c:pt>
                <c:pt idx="10">
                  <c:v>276.26502499999998</c:v>
                </c:pt>
                <c:pt idx="11">
                  <c:v>276.26502499999998</c:v>
                </c:pt>
                <c:pt idx="12">
                  <c:v>276.26502499999998</c:v>
                </c:pt>
                <c:pt idx="13">
                  <c:v>276.26502499999998</c:v>
                </c:pt>
                <c:pt idx="14">
                  <c:v>276.26502499999998</c:v>
                </c:pt>
                <c:pt idx="15">
                  <c:v>276.26502499999998</c:v>
                </c:pt>
                <c:pt idx="16">
                  <c:v>276.26502499999998</c:v>
                </c:pt>
                <c:pt idx="17">
                  <c:v>276.26502499999998</c:v>
                </c:pt>
                <c:pt idx="18">
                  <c:v>276.26502499999998</c:v>
                </c:pt>
                <c:pt idx="19">
                  <c:v>276.26502499999998</c:v>
                </c:pt>
                <c:pt idx="20">
                  <c:v>276.26502499999998</c:v>
                </c:pt>
                <c:pt idx="21">
                  <c:v>276.26502499999998</c:v>
                </c:pt>
                <c:pt idx="22">
                  <c:v>276.261079</c:v>
                </c:pt>
                <c:pt idx="23">
                  <c:v>276.150308</c:v>
                </c:pt>
                <c:pt idx="24">
                  <c:v>275.88987400000002</c:v>
                </c:pt>
                <c:pt idx="25">
                  <c:v>275.48323900000003</c:v>
                </c:pt>
                <c:pt idx="26">
                  <c:v>274.93261899999999</c:v>
                </c:pt>
                <c:pt idx="27">
                  <c:v>274.18475799999999</c:v>
                </c:pt>
                <c:pt idx="28">
                  <c:v>273.189573</c:v>
                </c:pt>
                <c:pt idx="29">
                  <c:v>272.02703500000001</c:v>
                </c:pt>
                <c:pt idx="30">
                  <c:v>270.70791200000002</c:v>
                </c:pt>
                <c:pt idx="31">
                  <c:v>269.23870199999999</c:v>
                </c:pt>
                <c:pt idx="32">
                  <c:v>267.62649499999998</c:v>
                </c:pt>
                <c:pt idx="33">
                  <c:v>265.87541700000003</c:v>
                </c:pt>
                <c:pt idx="34">
                  <c:v>263.90103900000003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'wykres p_zk'!$Q$1</c:f>
              <c:strCache>
                <c:ptCount val="1"/>
                <c:pt idx="0">
                  <c:v>1+2</c:v>
                </c:pt>
              </c:strCache>
            </c:strRef>
          </c:tx>
          <c:marker>
            <c:symbol val="none"/>
          </c:marker>
          <c:cat>
            <c:numRef>
              <c:f>'wykres p_zk'!$A$2:$A$36</c:f>
              <c:numCache>
                <c:formatCode>General</c:formatCode>
                <c:ptCount val="35"/>
                <c:pt idx="0">
                  <c:v>315</c:v>
                </c:pt>
                <c:pt idx="1">
                  <c:v>325</c:v>
                </c:pt>
                <c:pt idx="2">
                  <c:v>335</c:v>
                </c:pt>
                <c:pt idx="3">
                  <c:v>345</c:v>
                </c:pt>
                <c:pt idx="4">
                  <c:v>355</c:v>
                </c:pt>
                <c:pt idx="5">
                  <c:v>365</c:v>
                </c:pt>
                <c:pt idx="6">
                  <c:v>375</c:v>
                </c:pt>
                <c:pt idx="7">
                  <c:v>385</c:v>
                </c:pt>
                <c:pt idx="8">
                  <c:v>395</c:v>
                </c:pt>
                <c:pt idx="9">
                  <c:v>405</c:v>
                </c:pt>
                <c:pt idx="10">
                  <c:v>415</c:v>
                </c:pt>
                <c:pt idx="11">
                  <c:v>425</c:v>
                </c:pt>
                <c:pt idx="12">
                  <c:v>435</c:v>
                </c:pt>
                <c:pt idx="13">
                  <c:v>445</c:v>
                </c:pt>
                <c:pt idx="14">
                  <c:v>455</c:v>
                </c:pt>
                <c:pt idx="15">
                  <c:v>465</c:v>
                </c:pt>
                <c:pt idx="16">
                  <c:v>475</c:v>
                </c:pt>
                <c:pt idx="17">
                  <c:v>485</c:v>
                </c:pt>
                <c:pt idx="18">
                  <c:v>495</c:v>
                </c:pt>
                <c:pt idx="19">
                  <c:v>505</c:v>
                </c:pt>
                <c:pt idx="20">
                  <c:v>515</c:v>
                </c:pt>
                <c:pt idx="21">
                  <c:v>525</c:v>
                </c:pt>
                <c:pt idx="22">
                  <c:v>535</c:v>
                </c:pt>
                <c:pt idx="23">
                  <c:v>545</c:v>
                </c:pt>
                <c:pt idx="24">
                  <c:v>555</c:v>
                </c:pt>
                <c:pt idx="25">
                  <c:v>565</c:v>
                </c:pt>
                <c:pt idx="26">
                  <c:v>575</c:v>
                </c:pt>
                <c:pt idx="27">
                  <c:v>585</c:v>
                </c:pt>
                <c:pt idx="28">
                  <c:v>595</c:v>
                </c:pt>
                <c:pt idx="29">
                  <c:v>605</c:v>
                </c:pt>
                <c:pt idx="30">
                  <c:v>615</c:v>
                </c:pt>
                <c:pt idx="31">
                  <c:v>625</c:v>
                </c:pt>
                <c:pt idx="32">
                  <c:v>635</c:v>
                </c:pt>
                <c:pt idx="33">
                  <c:v>645</c:v>
                </c:pt>
                <c:pt idx="34">
                  <c:v>655</c:v>
                </c:pt>
              </c:numCache>
            </c:numRef>
          </c:cat>
          <c:val>
            <c:numRef>
              <c:f>'wykres p_zk'!$Q$2:$Q$36</c:f>
              <c:numCache>
                <c:formatCode>0</c:formatCode>
                <c:ptCount val="35"/>
                <c:pt idx="0">
                  <c:v>315</c:v>
                </c:pt>
                <c:pt idx="1">
                  <c:v>325</c:v>
                </c:pt>
                <c:pt idx="2">
                  <c:v>335</c:v>
                </c:pt>
                <c:pt idx="3">
                  <c:v>345</c:v>
                </c:pt>
                <c:pt idx="4">
                  <c:v>355</c:v>
                </c:pt>
                <c:pt idx="5">
                  <c:v>365</c:v>
                </c:pt>
                <c:pt idx="6">
                  <c:v>375</c:v>
                </c:pt>
                <c:pt idx="7">
                  <c:v>385</c:v>
                </c:pt>
                <c:pt idx="8">
                  <c:v>395</c:v>
                </c:pt>
                <c:pt idx="9">
                  <c:v>405</c:v>
                </c:pt>
                <c:pt idx="10">
                  <c:v>415</c:v>
                </c:pt>
                <c:pt idx="11">
                  <c:v>425</c:v>
                </c:pt>
                <c:pt idx="12">
                  <c:v>435</c:v>
                </c:pt>
                <c:pt idx="13">
                  <c:v>445</c:v>
                </c:pt>
                <c:pt idx="14">
                  <c:v>448.93066599999997</c:v>
                </c:pt>
                <c:pt idx="15">
                  <c:v>448.93066599999997</c:v>
                </c:pt>
                <c:pt idx="16">
                  <c:v>448.93066599999997</c:v>
                </c:pt>
                <c:pt idx="17">
                  <c:v>448.93066599999997</c:v>
                </c:pt>
                <c:pt idx="18">
                  <c:v>448.93066599999997</c:v>
                </c:pt>
                <c:pt idx="19">
                  <c:v>448.93066599999997</c:v>
                </c:pt>
                <c:pt idx="20">
                  <c:v>448.93066599999997</c:v>
                </c:pt>
                <c:pt idx="21">
                  <c:v>448.93066599999997</c:v>
                </c:pt>
                <c:pt idx="22">
                  <c:v>448.92425300000002</c:v>
                </c:pt>
                <c:pt idx="23">
                  <c:v>448.74424999999997</c:v>
                </c:pt>
                <c:pt idx="24">
                  <c:v>448.32104500000003</c:v>
                </c:pt>
                <c:pt idx="25">
                  <c:v>447.66026299999999</c:v>
                </c:pt>
                <c:pt idx="26">
                  <c:v>446.76550599999996</c:v>
                </c:pt>
                <c:pt idx="27">
                  <c:v>445.55023199999999</c:v>
                </c:pt>
                <c:pt idx="28">
                  <c:v>443.93305599999997</c:v>
                </c:pt>
                <c:pt idx="29">
                  <c:v>442.04393200000004</c:v>
                </c:pt>
                <c:pt idx="30">
                  <c:v>439.90035699999999</c:v>
                </c:pt>
                <c:pt idx="31">
                  <c:v>437.51289099999997</c:v>
                </c:pt>
                <c:pt idx="32">
                  <c:v>434.893055</c:v>
                </c:pt>
                <c:pt idx="33">
                  <c:v>432.047552</c:v>
                </c:pt>
                <c:pt idx="34">
                  <c:v>428.83918900000003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'wykres p_zk'!$R$1</c:f>
              <c:strCache>
                <c:ptCount val="1"/>
                <c:pt idx="0">
                  <c:v>1+2+3</c:v>
                </c:pt>
              </c:strCache>
            </c:strRef>
          </c:tx>
          <c:marker>
            <c:symbol val="none"/>
          </c:marker>
          <c:cat>
            <c:numRef>
              <c:f>'wykres p_zk'!$A$2:$A$36</c:f>
              <c:numCache>
                <c:formatCode>General</c:formatCode>
                <c:ptCount val="35"/>
                <c:pt idx="0">
                  <c:v>315</c:v>
                </c:pt>
                <c:pt idx="1">
                  <c:v>325</c:v>
                </c:pt>
                <c:pt idx="2">
                  <c:v>335</c:v>
                </c:pt>
                <c:pt idx="3">
                  <c:v>345</c:v>
                </c:pt>
                <c:pt idx="4">
                  <c:v>355</c:v>
                </c:pt>
                <c:pt idx="5">
                  <c:v>365</c:v>
                </c:pt>
                <c:pt idx="6">
                  <c:v>375</c:v>
                </c:pt>
                <c:pt idx="7">
                  <c:v>385</c:v>
                </c:pt>
                <c:pt idx="8">
                  <c:v>395</c:v>
                </c:pt>
                <c:pt idx="9">
                  <c:v>405</c:v>
                </c:pt>
                <c:pt idx="10">
                  <c:v>415</c:v>
                </c:pt>
                <c:pt idx="11">
                  <c:v>425</c:v>
                </c:pt>
                <c:pt idx="12">
                  <c:v>435</c:v>
                </c:pt>
                <c:pt idx="13">
                  <c:v>445</c:v>
                </c:pt>
                <c:pt idx="14">
                  <c:v>455</c:v>
                </c:pt>
                <c:pt idx="15">
                  <c:v>465</c:v>
                </c:pt>
                <c:pt idx="16">
                  <c:v>475</c:v>
                </c:pt>
                <c:pt idx="17">
                  <c:v>485</c:v>
                </c:pt>
                <c:pt idx="18">
                  <c:v>495</c:v>
                </c:pt>
                <c:pt idx="19">
                  <c:v>505</c:v>
                </c:pt>
                <c:pt idx="20">
                  <c:v>515</c:v>
                </c:pt>
                <c:pt idx="21">
                  <c:v>525</c:v>
                </c:pt>
                <c:pt idx="22">
                  <c:v>535</c:v>
                </c:pt>
                <c:pt idx="23">
                  <c:v>545</c:v>
                </c:pt>
                <c:pt idx="24">
                  <c:v>555</c:v>
                </c:pt>
                <c:pt idx="25">
                  <c:v>565</c:v>
                </c:pt>
                <c:pt idx="26">
                  <c:v>575</c:v>
                </c:pt>
                <c:pt idx="27">
                  <c:v>585</c:v>
                </c:pt>
                <c:pt idx="28">
                  <c:v>595</c:v>
                </c:pt>
                <c:pt idx="29">
                  <c:v>605</c:v>
                </c:pt>
                <c:pt idx="30">
                  <c:v>615</c:v>
                </c:pt>
                <c:pt idx="31">
                  <c:v>625</c:v>
                </c:pt>
                <c:pt idx="32">
                  <c:v>635</c:v>
                </c:pt>
                <c:pt idx="33">
                  <c:v>645</c:v>
                </c:pt>
                <c:pt idx="34">
                  <c:v>655</c:v>
                </c:pt>
              </c:numCache>
            </c:numRef>
          </c:cat>
          <c:val>
            <c:numRef>
              <c:f>'wykres p_zk'!$R$2:$R$36</c:f>
              <c:numCache>
                <c:formatCode>0</c:formatCode>
                <c:ptCount val="35"/>
                <c:pt idx="0">
                  <c:v>315</c:v>
                </c:pt>
                <c:pt idx="1">
                  <c:v>325</c:v>
                </c:pt>
                <c:pt idx="2">
                  <c:v>335</c:v>
                </c:pt>
                <c:pt idx="3">
                  <c:v>345</c:v>
                </c:pt>
                <c:pt idx="4">
                  <c:v>355</c:v>
                </c:pt>
                <c:pt idx="5">
                  <c:v>365</c:v>
                </c:pt>
                <c:pt idx="6">
                  <c:v>375</c:v>
                </c:pt>
                <c:pt idx="7">
                  <c:v>385</c:v>
                </c:pt>
                <c:pt idx="8">
                  <c:v>395</c:v>
                </c:pt>
                <c:pt idx="9">
                  <c:v>405</c:v>
                </c:pt>
                <c:pt idx="10">
                  <c:v>415</c:v>
                </c:pt>
                <c:pt idx="11">
                  <c:v>425</c:v>
                </c:pt>
                <c:pt idx="12">
                  <c:v>435</c:v>
                </c:pt>
                <c:pt idx="13">
                  <c:v>445</c:v>
                </c:pt>
                <c:pt idx="14">
                  <c:v>455.000001</c:v>
                </c:pt>
                <c:pt idx="15">
                  <c:v>465.000001</c:v>
                </c:pt>
                <c:pt idx="16">
                  <c:v>475.000001</c:v>
                </c:pt>
                <c:pt idx="17">
                  <c:v>485.000001</c:v>
                </c:pt>
                <c:pt idx="18">
                  <c:v>495.000001</c:v>
                </c:pt>
                <c:pt idx="19">
                  <c:v>505.000001</c:v>
                </c:pt>
                <c:pt idx="20">
                  <c:v>515.000001</c:v>
                </c:pt>
                <c:pt idx="21">
                  <c:v>525.000001</c:v>
                </c:pt>
                <c:pt idx="22">
                  <c:v>535</c:v>
                </c:pt>
                <c:pt idx="23">
                  <c:v>545</c:v>
                </c:pt>
                <c:pt idx="24">
                  <c:v>555</c:v>
                </c:pt>
                <c:pt idx="25">
                  <c:v>565</c:v>
                </c:pt>
                <c:pt idx="26">
                  <c:v>575</c:v>
                </c:pt>
                <c:pt idx="27">
                  <c:v>582.64261099999999</c:v>
                </c:pt>
                <c:pt idx="28">
                  <c:v>580.52784199999996</c:v>
                </c:pt>
                <c:pt idx="29">
                  <c:v>578.05744900000002</c:v>
                </c:pt>
                <c:pt idx="30">
                  <c:v>575.25431300000002</c:v>
                </c:pt>
                <c:pt idx="31">
                  <c:v>572.13224199999991</c:v>
                </c:pt>
                <c:pt idx="32">
                  <c:v>568.70630299999993</c:v>
                </c:pt>
                <c:pt idx="33">
                  <c:v>564.98525999999993</c:v>
                </c:pt>
                <c:pt idx="34">
                  <c:v>560.78970900000002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'wykres p_zk'!$S$1</c:f>
              <c:strCache>
                <c:ptCount val="1"/>
                <c:pt idx="0">
                  <c:v>1+2+3+4</c:v>
                </c:pt>
              </c:strCache>
            </c:strRef>
          </c:tx>
          <c:marker>
            <c:symbol val="none"/>
          </c:marker>
          <c:cat>
            <c:numRef>
              <c:f>'wykres p_zk'!$A$2:$A$36</c:f>
              <c:numCache>
                <c:formatCode>General</c:formatCode>
                <c:ptCount val="35"/>
                <c:pt idx="0">
                  <c:v>315</c:v>
                </c:pt>
                <c:pt idx="1">
                  <c:v>325</c:v>
                </c:pt>
                <c:pt idx="2">
                  <c:v>335</c:v>
                </c:pt>
                <c:pt idx="3">
                  <c:v>345</c:v>
                </c:pt>
                <c:pt idx="4">
                  <c:v>355</c:v>
                </c:pt>
                <c:pt idx="5">
                  <c:v>365</c:v>
                </c:pt>
                <c:pt idx="6">
                  <c:v>375</c:v>
                </c:pt>
                <c:pt idx="7">
                  <c:v>385</c:v>
                </c:pt>
                <c:pt idx="8">
                  <c:v>395</c:v>
                </c:pt>
                <c:pt idx="9">
                  <c:v>405</c:v>
                </c:pt>
                <c:pt idx="10">
                  <c:v>415</c:v>
                </c:pt>
                <c:pt idx="11">
                  <c:v>425</c:v>
                </c:pt>
                <c:pt idx="12">
                  <c:v>435</c:v>
                </c:pt>
                <c:pt idx="13">
                  <c:v>445</c:v>
                </c:pt>
                <c:pt idx="14">
                  <c:v>455</c:v>
                </c:pt>
                <c:pt idx="15">
                  <c:v>465</c:v>
                </c:pt>
                <c:pt idx="16">
                  <c:v>475</c:v>
                </c:pt>
                <c:pt idx="17">
                  <c:v>485</c:v>
                </c:pt>
                <c:pt idx="18">
                  <c:v>495</c:v>
                </c:pt>
                <c:pt idx="19">
                  <c:v>505</c:v>
                </c:pt>
                <c:pt idx="20">
                  <c:v>515</c:v>
                </c:pt>
                <c:pt idx="21">
                  <c:v>525</c:v>
                </c:pt>
                <c:pt idx="22">
                  <c:v>535</c:v>
                </c:pt>
                <c:pt idx="23">
                  <c:v>545</c:v>
                </c:pt>
                <c:pt idx="24">
                  <c:v>555</c:v>
                </c:pt>
                <c:pt idx="25">
                  <c:v>565</c:v>
                </c:pt>
                <c:pt idx="26">
                  <c:v>575</c:v>
                </c:pt>
                <c:pt idx="27">
                  <c:v>585</c:v>
                </c:pt>
                <c:pt idx="28">
                  <c:v>595</c:v>
                </c:pt>
                <c:pt idx="29">
                  <c:v>605</c:v>
                </c:pt>
                <c:pt idx="30">
                  <c:v>615</c:v>
                </c:pt>
                <c:pt idx="31">
                  <c:v>625</c:v>
                </c:pt>
                <c:pt idx="32">
                  <c:v>635</c:v>
                </c:pt>
                <c:pt idx="33">
                  <c:v>645</c:v>
                </c:pt>
                <c:pt idx="34">
                  <c:v>655</c:v>
                </c:pt>
              </c:numCache>
            </c:numRef>
          </c:cat>
          <c:val>
            <c:numRef>
              <c:f>'wykres p_zk'!$S$2:$S$36</c:f>
              <c:numCache>
                <c:formatCode>0</c:formatCode>
                <c:ptCount val="35"/>
                <c:pt idx="0">
                  <c:v>315</c:v>
                </c:pt>
                <c:pt idx="1">
                  <c:v>325</c:v>
                </c:pt>
                <c:pt idx="2">
                  <c:v>335</c:v>
                </c:pt>
                <c:pt idx="3">
                  <c:v>345</c:v>
                </c:pt>
                <c:pt idx="4">
                  <c:v>355</c:v>
                </c:pt>
                <c:pt idx="5">
                  <c:v>365</c:v>
                </c:pt>
                <c:pt idx="6">
                  <c:v>375</c:v>
                </c:pt>
                <c:pt idx="7">
                  <c:v>385</c:v>
                </c:pt>
                <c:pt idx="8">
                  <c:v>395</c:v>
                </c:pt>
                <c:pt idx="9">
                  <c:v>405</c:v>
                </c:pt>
                <c:pt idx="10">
                  <c:v>415</c:v>
                </c:pt>
                <c:pt idx="11">
                  <c:v>425</c:v>
                </c:pt>
                <c:pt idx="12">
                  <c:v>435</c:v>
                </c:pt>
                <c:pt idx="13">
                  <c:v>445</c:v>
                </c:pt>
                <c:pt idx="14">
                  <c:v>455.000001</c:v>
                </c:pt>
                <c:pt idx="15">
                  <c:v>465.000001</c:v>
                </c:pt>
                <c:pt idx="16">
                  <c:v>475.000001</c:v>
                </c:pt>
                <c:pt idx="17">
                  <c:v>485.000001</c:v>
                </c:pt>
                <c:pt idx="18">
                  <c:v>495.000001</c:v>
                </c:pt>
                <c:pt idx="19">
                  <c:v>505.000001</c:v>
                </c:pt>
                <c:pt idx="20">
                  <c:v>515.000001</c:v>
                </c:pt>
                <c:pt idx="21">
                  <c:v>525.000001</c:v>
                </c:pt>
                <c:pt idx="22">
                  <c:v>535</c:v>
                </c:pt>
                <c:pt idx="23">
                  <c:v>545</c:v>
                </c:pt>
                <c:pt idx="24">
                  <c:v>555</c:v>
                </c:pt>
                <c:pt idx="25">
                  <c:v>565</c:v>
                </c:pt>
                <c:pt idx="26">
                  <c:v>575</c:v>
                </c:pt>
                <c:pt idx="27">
                  <c:v>585.000001</c:v>
                </c:pt>
                <c:pt idx="28">
                  <c:v>595</c:v>
                </c:pt>
                <c:pt idx="29">
                  <c:v>605</c:v>
                </c:pt>
                <c:pt idx="30">
                  <c:v>615.000001</c:v>
                </c:pt>
                <c:pt idx="31">
                  <c:v>624.99999999999989</c:v>
                </c:pt>
                <c:pt idx="32">
                  <c:v>634.99999999999989</c:v>
                </c:pt>
                <c:pt idx="33">
                  <c:v>644.99999899999989</c:v>
                </c:pt>
                <c:pt idx="34">
                  <c:v>655.000001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414784"/>
        <c:axId val="206722688"/>
      </c:lineChart>
      <c:catAx>
        <c:axId val="207414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l-PL"/>
                  <a:t>m_0[t/h]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pl-PL"/>
          </a:p>
        </c:txPr>
        <c:crossAx val="206722688"/>
        <c:crosses val="autoZero"/>
        <c:auto val="1"/>
        <c:lblAlgn val="ctr"/>
        <c:lblOffset val="100"/>
        <c:tickLblSkip val="3"/>
        <c:noMultiLvlLbl val="0"/>
      </c:catAx>
      <c:valAx>
        <c:axId val="206722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l-PL"/>
                  <a:t>m[t/h]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207414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447675</xdr:colOff>
      <xdr:row>0</xdr:row>
      <xdr:rowOff>138111</xdr:rowOff>
    </xdr:from>
    <xdr:to>
      <xdr:col>13</xdr:col>
      <xdr:colOff>533400</xdr:colOff>
      <xdr:row>19</xdr:row>
      <xdr:rowOff>123825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557212</xdr:colOff>
      <xdr:row>0</xdr:row>
      <xdr:rowOff>123825</xdr:rowOff>
    </xdr:from>
    <xdr:to>
      <xdr:col>14</xdr:col>
      <xdr:colOff>504825</xdr:colOff>
      <xdr:row>23</xdr:row>
      <xdr:rowOff>47625</xdr:rowOff>
    </xdr:to>
    <xdr:graphicFrame macro="">
      <xdr:nvGraphicFramePr>
        <xdr:cNvPr id="3" name="Wykres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110219</xdr:colOff>
      <xdr:row>1</xdr:row>
      <xdr:rowOff>15647</xdr:rowOff>
    </xdr:from>
    <xdr:to>
      <xdr:col>33</xdr:col>
      <xdr:colOff>122465</xdr:colOff>
      <xdr:row>29</xdr:row>
      <xdr:rowOff>95251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108858</xdr:colOff>
      <xdr:row>29</xdr:row>
      <xdr:rowOff>163286</xdr:rowOff>
    </xdr:from>
    <xdr:to>
      <xdr:col>33</xdr:col>
      <xdr:colOff>68035</xdr:colOff>
      <xdr:row>57</xdr:row>
      <xdr:rowOff>40821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704850</xdr:colOff>
          <xdr:row>36</xdr:row>
          <xdr:rowOff>47625</xdr:rowOff>
        </xdr:from>
        <xdr:to>
          <xdr:col>18</xdr:col>
          <xdr:colOff>514350</xdr:colOff>
          <xdr:row>38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</a:rPr>
                <a:t>ODŚWIEŻ (st_reg.txt)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0.86315</cdr:x>
      <cdr:y>0.67922</cdr:y>
    </cdr:from>
    <cdr:to>
      <cdr:x>0.95473</cdr:x>
      <cdr:y>0.73728</cdr:y>
    </cdr:to>
    <cdr:sp macro="" textlink="">
      <cdr:nvSpPr>
        <cdr:cNvPr id="2" name="pole tekstowe 1"/>
        <cdr:cNvSpPr txBox="1"/>
      </cdr:nvSpPr>
      <cdr:spPr>
        <a:xfrm xmlns:a="http://schemas.openxmlformats.org/drawingml/2006/main">
          <a:off x="6278911" y="3539778"/>
          <a:ext cx="666173" cy="3025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l-PL" sz="1100"/>
            <a:t>m_z1</a:t>
          </a:r>
        </a:p>
      </cdr:txBody>
    </cdr:sp>
  </cdr:relSizeAnchor>
  <cdr:relSizeAnchor xmlns:cdr="http://schemas.openxmlformats.org/drawingml/2006/chartDrawing">
    <cdr:from>
      <cdr:x>0.86389</cdr:x>
      <cdr:y>0.42332</cdr:y>
    </cdr:from>
    <cdr:to>
      <cdr:x>0.96012</cdr:x>
      <cdr:y>0.48137</cdr:y>
    </cdr:to>
    <cdr:sp macro="" textlink="">
      <cdr:nvSpPr>
        <cdr:cNvPr id="3" name="pole tekstowe 1"/>
        <cdr:cNvSpPr txBox="1"/>
      </cdr:nvSpPr>
      <cdr:spPr>
        <a:xfrm xmlns:a="http://schemas.openxmlformats.org/drawingml/2006/main">
          <a:off x="6318590" y="2206130"/>
          <a:ext cx="703878" cy="3025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l-PL" sz="1100"/>
            <a:t>m_z2</a:t>
          </a:r>
        </a:p>
      </cdr:txBody>
    </cdr:sp>
  </cdr:relSizeAnchor>
  <cdr:relSizeAnchor xmlns:cdr="http://schemas.openxmlformats.org/drawingml/2006/chartDrawing">
    <cdr:from>
      <cdr:x>0.86385</cdr:x>
      <cdr:y>0.22678</cdr:y>
    </cdr:from>
    <cdr:to>
      <cdr:x>0.96352</cdr:x>
      <cdr:y>0.28484</cdr:y>
    </cdr:to>
    <cdr:sp macro="" textlink="">
      <cdr:nvSpPr>
        <cdr:cNvPr id="4" name="pole tekstowe 1"/>
        <cdr:cNvSpPr txBox="1"/>
      </cdr:nvSpPr>
      <cdr:spPr>
        <a:xfrm xmlns:a="http://schemas.openxmlformats.org/drawingml/2006/main">
          <a:off x="6318330" y="1181871"/>
          <a:ext cx="728986" cy="3025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l-PL" sz="1100"/>
            <a:t>m_z3</a:t>
          </a:r>
        </a:p>
      </cdr:txBody>
    </cdr:sp>
  </cdr:relSizeAnchor>
  <cdr:relSizeAnchor xmlns:cdr="http://schemas.openxmlformats.org/drawingml/2006/chartDrawing">
    <cdr:from>
      <cdr:x>0.8633</cdr:x>
      <cdr:y>0.11081</cdr:y>
    </cdr:from>
    <cdr:to>
      <cdr:x>0.96692</cdr:x>
      <cdr:y>0.16886</cdr:y>
    </cdr:to>
    <cdr:sp macro="" textlink="">
      <cdr:nvSpPr>
        <cdr:cNvPr id="5" name="pole tekstowe 1"/>
        <cdr:cNvSpPr txBox="1"/>
      </cdr:nvSpPr>
      <cdr:spPr>
        <a:xfrm xmlns:a="http://schemas.openxmlformats.org/drawingml/2006/main">
          <a:off x="6314297" y="577477"/>
          <a:ext cx="757867" cy="3025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l-PL" sz="1100"/>
            <a:t>m_z4</a:t>
          </a:r>
        </a:p>
      </cdr:txBody>
    </cdr:sp>
  </cdr:relSizeAnchor>
  <cdr:relSizeAnchor xmlns:cdr="http://schemas.openxmlformats.org/drawingml/2006/chartDrawing">
    <cdr:from>
      <cdr:x>0.89796</cdr:x>
      <cdr:y>0.27885</cdr:y>
    </cdr:from>
    <cdr:to>
      <cdr:x>0.89796</cdr:x>
      <cdr:y>0.35064</cdr:y>
    </cdr:to>
    <cdr:cxnSp macro="">
      <cdr:nvCxnSpPr>
        <cdr:cNvPr id="9" name="Łącznik prosty ze strzałką 8"/>
        <cdr:cNvCxnSpPr/>
      </cdr:nvCxnSpPr>
      <cdr:spPr>
        <a:xfrm xmlns:a="http://schemas.openxmlformats.org/drawingml/2006/main">
          <a:off x="6532084" y="1453243"/>
          <a:ext cx="0" cy="374125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0.89779</cdr:x>
      <cdr:y>0.73593</cdr:y>
    </cdr:from>
    <cdr:to>
      <cdr:x>0.89779</cdr:x>
      <cdr:y>0.86873</cdr:y>
    </cdr:to>
    <cdr:cxnSp macro="">
      <cdr:nvCxnSpPr>
        <cdr:cNvPr id="11" name="Łącznik prosty ze strzałką 10"/>
        <cdr:cNvCxnSpPr/>
      </cdr:nvCxnSpPr>
      <cdr:spPr>
        <a:xfrm xmlns:a="http://schemas.openxmlformats.org/drawingml/2006/main">
          <a:off x="6530852" y="3835330"/>
          <a:ext cx="0" cy="69210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0.89783</cdr:x>
      <cdr:y>0.47427</cdr:y>
    </cdr:from>
    <cdr:to>
      <cdr:x>0.89783</cdr:x>
      <cdr:y>0.54839</cdr:y>
    </cdr:to>
    <cdr:cxnSp macro="">
      <cdr:nvCxnSpPr>
        <cdr:cNvPr id="12" name="Łącznik prosty ze strzałką 11"/>
        <cdr:cNvCxnSpPr/>
      </cdr:nvCxnSpPr>
      <cdr:spPr>
        <a:xfrm xmlns:a="http://schemas.openxmlformats.org/drawingml/2006/main">
          <a:off x="6531152" y="2471700"/>
          <a:ext cx="0" cy="38622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0.56183</cdr:x>
      <cdr:y>0.17662</cdr:y>
    </cdr:from>
    <cdr:to>
      <cdr:x>0.63322</cdr:x>
      <cdr:y>0.23468</cdr:y>
    </cdr:to>
    <cdr:sp macro="" textlink="">
      <cdr:nvSpPr>
        <cdr:cNvPr id="19" name="pole tekstowe 1"/>
        <cdr:cNvSpPr txBox="1"/>
      </cdr:nvSpPr>
      <cdr:spPr>
        <a:xfrm xmlns:a="http://schemas.openxmlformats.org/drawingml/2006/main">
          <a:off x="4109278" y="920474"/>
          <a:ext cx="522149" cy="3025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l-PL" sz="1100"/>
            <a:t>m_0</a:t>
          </a:r>
        </a:p>
      </cdr:txBody>
    </cdr:sp>
  </cdr:relSizeAnchor>
  <cdr:relSizeAnchor xmlns:cdr="http://schemas.openxmlformats.org/drawingml/2006/chartDrawing">
    <cdr:from>
      <cdr:x>0.89763</cdr:x>
      <cdr:y>0.35157</cdr:y>
    </cdr:from>
    <cdr:to>
      <cdr:x>0.89763</cdr:x>
      <cdr:y>0.42986</cdr:y>
    </cdr:to>
    <cdr:cxnSp macro="">
      <cdr:nvCxnSpPr>
        <cdr:cNvPr id="23" name="Łącznik prosty ze strzałką 22"/>
        <cdr:cNvCxnSpPr/>
      </cdr:nvCxnSpPr>
      <cdr:spPr>
        <a:xfrm xmlns:a="http://schemas.openxmlformats.org/drawingml/2006/main" flipV="1">
          <a:off x="6529697" y="1832238"/>
          <a:ext cx="0" cy="40796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0.89716</cdr:x>
      <cdr:y>0.55327</cdr:y>
    </cdr:from>
    <cdr:to>
      <cdr:x>0.89716</cdr:x>
      <cdr:y>0.67146</cdr:y>
    </cdr:to>
    <cdr:cxnSp macro="">
      <cdr:nvCxnSpPr>
        <cdr:cNvPr id="24" name="Łącznik prosty ze strzałką 23"/>
        <cdr:cNvCxnSpPr/>
      </cdr:nvCxnSpPr>
      <cdr:spPr>
        <a:xfrm xmlns:a="http://schemas.openxmlformats.org/drawingml/2006/main" flipV="1">
          <a:off x="6526282" y="2883377"/>
          <a:ext cx="0" cy="61595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0.89772</cdr:x>
      <cdr:y>0.19051</cdr:y>
    </cdr:from>
    <cdr:to>
      <cdr:x>0.89772</cdr:x>
      <cdr:y>0.22836</cdr:y>
    </cdr:to>
    <cdr:cxnSp macro="">
      <cdr:nvCxnSpPr>
        <cdr:cNvPr id="26" name="Łącznik prosty ze strzałką 25"/>
        <cdr:cNvCxnSpPr/>
      </cdr:nvCxnSpPr>
      <cdr:spPr>
        <a:xfrm xmlns:a="http://schemas.openxmlformats.org/drawingml/2006/main" flipV="1">
          <a:off x="6530365" y="992846"/>
          <a:ext cx="0" cy="197263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queryTables/queryTable1.xml><?xml version="1.0" encoding="utf-8"?>
<queryTable xmlns="http://schemas.openxmlformats.org/spreadsheetml/2006/main" name="1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F36"/>
  <sheetViews>
    <sheetView workbookViewId="0">
      <selection activeCell="F25" sqref="F25:I29"/>
    </sheetView>
  </sheetViews>
  <sheetFormatPr defaultRowHeight="15" x14ac:dyDescent="0.25"/>
  <cols>
    <col min="3" max="3" width="9.7109375" bestFit="1" customWidth="1"/>
  </cols>
  <sheetData>
    <row r="1" spans="1:6" x14ac:dyDescent="0.25">
      <c r="A1" t="s">
        <v>0</v>
      </c>
      <c r="B1" t="s">
        <v>7</v>
      </c>
      <c r="C1" t="s">
        <v>1</v>
      </c>
      <c r="D1" t="s">
        <v>11</v>
      </c>
      <c r="E1" t="s">
        <v>2</v>
      </c>
      <c r="F1" t="s">
        <v>12</v>
      </c>
    </row>
    <row r="2" spans="1:6" x14ac:dyDescent="0.25">
      <c r="A2">
        <v>480</v>
      </c>
      <c r="B2">
        <v>0.03</v>
      </c>
      <c r="C2">
        <v>5.85</v>
      </c>
      <c r="D2">
        <v>5.86</v>
      </c>
      <c r="E2">
        <v>12.16</v>
      </c>
    </row>
    <row r="3" spans="1:6" x14ac:dyDescent="0.25">
      <c r="A3">
        <v>500</v>
      </c>
      <c r="B3">
        <v>0.18</v>
      </c>
      <c r="C3">
        <v>6.11</v>
      </c>
      <c r="D3">
        <v>6.29</v>
      </c>
      <c r="E3">
        <v>12.16</v>
      </c>
    </row>
    <row r="4" spans="1:6" x14ac:dyDescent="0.25">
      <c r="A4">
        <v>510</v>
      </c>
      <c r="B4">
        <v>0.25</v>
      </c>
      <c r="C4">
        <v>6.23</v>
      </c>
      <c r="D4">
        <v>6.59</v>
      </c>
      <c r="E4">
        <v>12.16</v>
      </c>
      <c r="F4">
        <v>2.25</v>
      </c>
    </row>
    <row r="5" spans="1:6" x14ac:dyDescent="0.25">
      <c r="A5">
        <v>520</v>
      </c>
      <c r="B5">
        <v>0.33</v>
      </c>
      <c r="C5">
        <v>6.36</v>
      </c>
      <c r="D5">
        <v>6.94</v>
      </c>
      <c r="E5">
        <v>12.16</v>
      </c>
      <c r="F5">
        <v>2.2000000000000002</v>
      </c>
    </row>
    <row r="6" spans="1:6" x14ac:dyDescent="0.25">
      <c r="A6">
        <v>530</v>
      </c>
      <c r="B6">
        <v>0.4</v>
      </c>
      <c r="C6">
        <v>6.49</v>
      </c>
      <c r="D6">
        <v>7.35</v>
      </c>
      <c r="E6">
        <v>12.16</v>
      </c>
      <c r="F6">
        <v>2.16</v>
      </c>
    </row>
    <row r="7" spans="1:6" x14ac:dyDescent="0.25">
      <c r="A7">
        <v>540</v>
      </c>
      <c r="B7">
        <v>0.47</v>
      </c>
      <c r="C7">
        <v>6.62</v>
      </c>
      <c r="D7">
        <v>7.8</v>
      </c>
      <c r="E7">
        <v>12.16</v>
      </c>
      <c r="F7">
        <v>2.13</v>
      </c>
    </row>
    <row r="8" spans="1:6" x14ac:dyDescent="0.25">
      <c r="A8">
        <v>550</v>
      </c>
      <c r="B8">
        <v>0.55000000000000004</v>
      </c>
      <c r="C8">
        <v>6.75</v>
      </c>
      <c r="D8">
        <v>8.3000000000000007</v>
      </c>
      <c r="E8">
        <v>12.16</v>
      </c>
      <c r="F8">
        <v>2.11</v>
      </c>
    </row>
    <row r="9" spans="1:6" x14ac:dyDescent="0.25">
      <c r="A9">
        <v>560</v>
      </c>
      <c r="B9">
        <v>0.62</v>
      </c>
      <c r="C9">
        <v>6.87</v>
      </c>
      <c r="D9">
        <v>8.39</v>
      </c>
      <c r="E9">
        <v>12.16</v>
      </c>
      <c r="F9">
        <v>2.11</v>
      </c>
    </row>
    <row r="10" spans="1:6" x14ac:dyDescent="0.25">
      <c r="A10">
        <v>570</v>
      </c>
      <c r="B10">
        <v>0.7</v>
      </c>
      <c r="C10">
        <v>7</v>
      </c>
      <c r="D10">
        <v>9.48</v>
      </c>
      <c r="E10">
        <v>12.16</v>
      </c>
      <c r="F10">
        <v>2.11</v>
      </c>
    </row>
    <row r="11" spans="1:6" x14ac:dyDescent="0.25">
      <c r="A11">
        <v>580</v>
      </c>
      <c r="B11">
        <v>0.78</v>
      </c>
      <c r="C11">
        <v>7.13</v>
      </c>
      <c r="D11">
        <v>10.19</v>
      </c>
      <c r="E11">
        <v>12.16</v>
      </c>
      <c r="F11">
        <v>2.12</v>
      </c>
    </row>
    <row r="12" spans="1:6" x14ac:dyDescent="0.25">
      <c r="A12">
        <v>590</v>
      </c>
      <c r="B12">
        <v>0.87</v>
      </c>
      <c r="C12">
        <v>7.26</v>
      </c>
      <c r="D12">
        <v>10.97</v>
      </c>
      <c r="E12">
        <v>12.16</v>
      </c>
      <c r="F12">
        <v>2.14</v>
      </c>
    </row>
    <row r="13" spans="1:6" x14ac:dyDescent="0.25">
      <c r="A13">
        <v>600</v>
      </c>
      <c r="B13">
        <v>0.95</v>
      </c>
      <c r="C13">
        <v>7.39</v>
      </c>
      <c r="D13">
        <v>11.84</v>
      </c>
      <c r="E13">
        <v>12.16</v>
      </c>
      <c r="F13">
        <v>2.16</v>
      </c>
    </row>
    <row r="14" spans="1:6" x14ac:dyDescent="0.25">
      <c r="A14">
        <v>610</v>
      </c>
      <c r="B14">
        <v>0.09</v>
      </c>
      <c r="C14">
        <v>7.52</v>
      </c>
      <c r="D14">
        <v>7.56</v>
      </c>
      <c r="E14">
        <v>12.16</v>
      </c>
      <c r="F14">
        <v>2.11</v>
      </c>
    </row>
    <row r="15" spans="1:6" x14ac:dyDescent="0.25">
      <c r="A15">
        <v>620</v>
      </c>
      <c r="B15">
        <v>0.28000000000000003</v>
      </c>
      <c r="C15">
        <v>7.65</v>
      </c>
      <c r="D15">
        <v>8.01</v>
      </c>
      <c r="E15">
        <v>12.16</v>
      </c>
      <c r="F15">
        <v>2.0099999999999998</v>
      </c>
    </row>
    <row r="16" spans="1:6" x14ac:dyDescent="0.25">
      <c r="A16">
        <v>630</v>
      </c>
      <c r="B16">
        <v>0.48</v>
      </c>
      <c r="C16">
        <v>7.78</v>
      </c>
      <c r="D16">
        <v>8.7799999999999994</v>
      </c>
      <c r="E16">
        <v>12.16</v>
      </c>
      <c r="F16">
        <v>1.95</v>
      </c>
    </row>
    <row r="17" spans="1:6" x14ac:dyDescent="0.25">
      <c r="A17">
        <v>640</v>
      </c>
      <c r="B17">
        <v>0.68</v>
      </c>
      <c r="C17">
        <v>7.91</v>
      </c>
      <c r="D17">
        <v>9.92</v>
      </c>
      <c r="E17">
        <v>12.16</v>
      </c>
      <c r="F17">
        <v>1.93</v>
      </c>
    </row>
    <row r="18" spans="1:6" x14ac:dyDescent="0.25">
      <c r="A18">
        <v>650</v>
      </c>
      <c r="B18">
        <v>0.89</v>
      </c>
      <c r="C18">
        <v>8.0299999999999994</v>
      </c>
      <c r="D18">
        <v>11.14</v>
      </c>
      <c r="E18">
        <v>12.16</v>
      </c>
      <c r="F18">
        <v>1.94</v>
      </c>
    </row>
    <row r="19" spans="1:6" x14ac:dyDescent="0.25">
      <c r="A19">
        <v>655</v>
      </c>
    </row>
    <row r="21" spans="1:6" x14ac:dyDescent="0.25">
      <c r="A21" t="s">
        <v>10</v>
      </c>
      <c r="B21">
        <f>0.97*12.8*10^6</f>
        <v>12416000</v>
      </c>
    </row>
    <row r="22" spans="1:6" x14ac:dyDescent="0.25">
      <c r="A22" t="s">
        <v>5</v>
      </c>
      <c r="B22">
        <f>10.16*10^6</f>
        <v>10160000</v>
      </c>
    </row>
    <row r="23" spans="1:6" x14ac:dyDescent="0.25">
      <c r="A23" t="s">
        <v>3</v>
      </c>
      <c r="B23">
        <v>0.54600000000000004</v>
      </c>
    </row>
    <row r="24" spans="1:6" x14ac:dyDescent="0.25">
      <c r="A24" t="s">
        <v>4</v>
      </c>
      <c r="B24">
        <f>B22/(12.8*10^6)</f>
        <v>0.79374999999999996</v>
      </c>
    </row>
    <row r="25" spans="1:6" x14ac:dyDescent="0.25">
      <c r="B25" t="s">
        <v>6</v>
      </c>
    </row>
    <row r="26" spans="1:6" x14ac:dyDescent="0.25">
      <c r="A26" t="s">
        <v>7</v>
      </c>
      <c r="B26" t="s">
        <v>8</v>
      </c>
      <c r="C26" t="s">
        <v>9</v>
      </c>
    </row>
    <row r="27" spans="1:6" x14ac:dyDescent="0.25">
      <c r="A27">
        <v>0.1</v>
      </c>
      <c r="B27">
        <f>(-$B$23*$B$22+SQRT($B$22^2*(1-$B$23)^2+(1-2*$B$23)*A27^2*$B$22^2*((1-$B$23)^2-($B$24-$B$23)^2)))/(1-2*$B$23)</f>
        <v>10176197.738999886</v>
      </c>
      <c r="C27">
        <f t="shared" ref="C27:C36" si="0">$B$22*(-$B$23+(1-$B$23)*SQRT(1+(1-2*$B$23)*A27^2*$B$21^2/$B$22^2))/(1-2*$B$23)</f>
        <v>10194454.409115519</v>
      </c>
    </row>
    <row r="28" spans="1:6" x14ac:dyDescent="0.25">
      <c r="A28">
        <v>0.2</v>
      </c>
      <c r="B28">
        <f t="shared" ref="B28:B36" si="1">(-$B$23*$B$22+SQRT($B$22^2*(1-$B$23)^2+(1-2*$B$23)*A28^2*$B$22^2*((1-$B$23)^2-($B$24-$B$23)^2)))/(1-2*$B$23)</f>
        <v>10224822.394370537</v>
      </c>
      <c r="C28">
        <f t="shared" si="0"/>
        <v>10297960.090636577</v>
      </c>
    </row>
    <row r="29" spans="1:6" x14ac:dyDescent="0.25">
      <c r="A29">
        <v>0.3</v>
      </c>
      <c r="B29">
        <f t="shared" si="1"/>
        <v>10305968.58711225</v>
      </c>
      <c r="C29">
        <f t="shared" si="0"/>
        <v>10470947.368358077</v>
      </c>
    </row>
    <row r="30" spans="1:6" x14ac:dyDescent="0.25">
      <c r="A30">
        <v>0.4</v>
      </c>
      <c r="B30">
        <f t="shared" si="1"/>
        <v>10419795.04548813</v>
      </c>
      <c r="C30">
        <f t="shared" si="0"/>
        <v>10714143.46434957</v>
      </c>
    </row>
    <row r="31" spans="1:6" x14ac:dyDescent="0.25">
      <c r="A31">
        <v>0.5</v>
      </c>
      <c r="B31">
        <f t="shared" si="1"/>
        <v>10566526.169606213</v>
      </c>
      <c r="C31">
        <f t="shared" si="0"/>
        <v>11028588.042408047</v>
      </c>
    </row>
    <row r="32" spans="1:6" x14ac:dyDescent="0.25">
      <c r="A32">
        <v>0.6</v>
      </c>
      <c r="B32">
        <f t="shared" si="1"/>
        <v>10746454.272264697</v>
      </c>
      <c r="C32">
        <f t="shared" si="0"/>
        <v>11415656.056819646</v>
      </c>
    </row>
    <row r="33" spans="1:4" x14ac:dyDescent="0.25">
      <c r="A33">
        <v>0.7</v>
      </c>
      <c r="B33">
        <f t="shared" si="1"/>
        <v>10959942.549019577</v>
      </c>
      <c r="C33">
        <f t="shared" si="0"/>
        <v>11877089.11404933</v>
      </c>
    </row>
    <row r="34" spans="1:4" x14ac:dyDescent="0.25">
      <c r="A34">
        <v>0.8</v>
      </c>
      <c r="B34">
        <f t="shared" si="1"/>
        <v>11207428.849367475</v>
      </c>
      <c r="C34">
        <f t="shared" si="0"/>
        <v>12415037.090766326</v>
      </c>
    </row>
    <row r="35" spans="1:4" x14ac:dyDescent="0.25">
      <c r="A35">
        <v>0.9</v>
      </c>
      <c r="B35">
        <f t="shared" si="1"/>
        <v>11489430.343069339</v>
      </c>
      <c r="C35">
        <f t="shared" si="0"/>
        <v>13032112.469725244</v>
      </c>
    </row>
    <row r="36" spans="1:4" x14ac:dyDescent="0.25">
      <c r="A36">
        <v>1</v>
      </c>
      <c r="B36">
        <f t="shared" si="1"/>
        <v>11806549.202116247</v>
      </c>
      <c r="C36">
        <f t="shared" si="0"/>
        <v>13731460.85043085</v>
      </c>
      <c r="D36">
        <f>B21</f>
        <v>12416000</v>
      </c>
    </row>
  </sheetData>
  <sortState ref="A2:E9">
    <sortCondition ref="A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A1:U301"/>
  <sheetViews>
    <sheetView tabSelected="1" topLeftCell="D1" zoomScale="70" zoomScaleNormal="70" workbookViewId="0">
      <pane ySplit="1" topLeftCell="A17" activePane="bottomLeft" state="frozen"/>
      <selection activeCell="C1" sqref="C1"/>
      <selection pane="bottomLeft" activeCell="AI39" sqref="AI39"/>
    </sheetView>
  </sheetViews>
  <sheetFormatPr defaultRowHeight="15" x14ac:dyDescent="0.25"/>
  <cols>
    <col min="1" max="1" width="5.42578125" customWidth="1"/>
    <col min="2" max="3" width="10.28515625" bestFit="1" customWidth="1"/>
    <col min="4" max="4" width="9.140625" bestFit="1" customWidth="1"/>
    <col min="5" max="8" width="10.28515625" bestFit="1" customWidth="1"/>
    <col min="9" max="12" width="6.28515625" customWidth="1"/>
    <col min="13" max="13" width="5.42578125" customWidth="1"/>
    <col min="14" max="14" width="13.5703125" customWidth="1"/>
    <col min="15" max="15" width="2.5703125" customWidth="1"/>
    <col min="16" max="16" width="2.42578125" customWidth="1"/>
    <col min="21" max="21" width="10.140625" bestFit="1" customWidth="1"/>
  </cols>
  <sheetData>
    <row r="1" spans="1:21" x14ac:dyDescent="0.25">
      <c r="A1" t="s">
        <v>13</v>
      </c>
      <c r="B1" t="s">
        <v>25</v>
      </c>
      <c r="C1" t="s">
        <v>26</v>
      </c>
      <c r="D1" t="s">
        <v>5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  <c r="M1" t="s">
        <v>28</v>
      </c>
      <c r="N1" t="s">
        <v>27</v>
      </c>
      <c r="Q1" t="s">
        <v>22</v>
      </c>
      <c r="R1" t="s">
        <v>23</v>
      </c>
      <c r="S1" t="s">
        <v>24</v>
      </c>
      <c r="U1" t="s">
        <v>29</v>
      </c>
    </row>
    <row r="2" spans="1:21" x14ac:dyDescent="0.25">
      <c r="A2">
        <v>315</v>
      </c>
      <c r="B2" s="1">
        <v>12800000</v>
      </c>
      <c r="C2" s="1">
        <v>12416000</v>
      </c>
      <c r="D2" s="1">
        <v>3885375.1934409998</v>
      </c>
      <c r="E2" s="3">
        <v>12416000</v>
      </c>
      <c r="F2" s="3">
        <v>4344127.107845</v>
      </c>
      <c r="G2" s="3">
        <v>3885375.1934409998</v>
      </c>
      <c r="H2" s="3">
        <v>3885375.1934409998</v>
      </c>
      <c r="I2" s="1">
        <v>276.26502499999998</v>
      </c>
      <c r="J2" s="1">
        <v>38.734974999999999</v>
      </c>
      <c r="K2" s="1">
        <v>0</v>
      </c>
      <c r="L2" s="1">
        <v>0</v>
      </c>
      <c r="M2" s="2">
        <v>0.22433500000000001</v>
      </c>
      <c r="N2" s="1">
        <v>21649209.614475001</v>
      </c>
      <c r="O2" s="1">
        <v>3</v>
      </c>
      <c r="Q2" s="1">
        <f>I2+J2</f>
        <v>315</v>
      </c>
      <c r="R2" s="1">
        <f>I2+J2+K2</f>
        <v>315</v>
      </c>
      <c r="S2" s="1">
        <f t="shared" ref="S2" si="0">I2+J2+K2+L2</f>
        <v>315</v>
      </c>
      <c r="U2">
        <f>B2/10^6</f>
        <v>12.8</v>
      </c>
    </row>
    <row r="3" spans="1:21" x14ac:dyDescent="0.25">
      <c r="A3">
        <v>325</v>
      </c>
      <c r="B3">
        <v>12800000</v>
      </c>
      <c r="C3" s="1">
        <v>12416000</v>
      </c>
      <c r="D3" s="1">
        <v>4022179.7474890002</v>
      </c>
      <c r="E3" s="3">
        <v>12416000</v>
      </c>
      <c r="F3" s="3">
        <v>4727825.5695449999</v>
      </c>
      <c r="G3" s="3">
        <v>4022179.7474890002</v>
      </c>
      <c r="H3" s="3">
        <v>4022179.7474890002</v>
      </c>
      <c r="I3" s="1">
        <v>276.26502499999998</v>
      </c>
      <c r="J3" s="1">
        <v>48.734974999999999</v>
      </c>
      <c r="K3" s="1">
        <v>0</v>
      </c>
      <c r="L3" s="1">
        <v>0</v>
      </c>
      <c r="M3" s="2">
        <v>0.28225099999999997</v>
      </c>
      <c r="N3">
        <v>21337106.108488999</v>
      </c>
      <c r="O3">
        <v>3</v>
      </c>
      <c r="Q3" s="1">
        <f t="shared" ref="Q3:Q30" si="1">I3+J3</f>
        <v>325</v>
      </c>
      <c r="R3" s="1">
        <f t="shared" ref="R3:R30" si="2">I3+J3+K3</f>
        <v>325</v>
      </c>
      <c r="S3" s="1">
        <f t="shared" ref="S3:S30" si="3">I3+J3+K3+L3</f>
        <v>325</v>
      </c>
      <c r="U3">
        <f t="shared" ref="U3:U36" si="4">B3/10^6</f>
        <v>12.8</v>
      </c>
    </row>
    <row r="4" spans="1:21" x14ac:dyDescent="0.25">
      <c r="A4">
        <v>335</v>
      </c>
      <c r="B4">
        <v>12800000</v>
      </c>
      <c r="C4" s="1">
        <v>12416000</v>
      </c>
      <c r="D4" s="1">
        <v>4156337.0592720001</v>
      </c>
      <c r="E4" s="3">
        <v>12416000</v>
      </c>
      <c r="F4" s="3">
        <v>5154870.3834149996</v>
      </c>
      <c r="G4" s="3">
        <v>4156337.0592720001</v>
      </c>
      <c r="H4" s="3">
        <v>4156337.0592720001</v>
      </c>
      <c r="I4" s="1">
        <v>276.26502499999998</v>
      </c>
      <c r="J4" s="1">
        <v>58.734974999999999</v>
      </c>
      <c r="K4" s="1">
        <v>0</v>
      </c>
      <c r="L4" s="1">
        <v>0</v>
      </c>
      <c r="M4" s="2">
        <v>0.34016600000000002</v>
      </c>
      <c r="N4">
        <v>21216191.258779</v>
      </c>
      <c r="O4">
        <v>3</v>
      </c>
      <c r="Q4" s="1">
        <f t="shared" si="1"/>
        <v>335</v>
      </c>
      <c r="R4" s="1">
        <f t="shared" si="2"/>
        <v>335</v>
      </c>
      <c r="S4" s="1">
        <f t="shared" si="3"/>
        <v>335</v>
      </c>
      <c r="U4">
        <f t="shared" si="4"/>
        <v>12.8</v>
      </c>
    </row>
    <row r="5" spans="1:21" x14ac:dyDescent="0.25">
      <c r="A5">
        <v>345</v>
      </c>
      <c r="B5">
        <v>12800000</v>
      </c>
      <c r="C5" s="1">
        <v>12416000</v>
      </c>
      <c r="D5" s="1">
        <v>4288332.0437599998</v>
      </c>
      <c r="E5" s="3">
        <v>12416000</v>
      </c>
      <c r="F5" s="3">
        <v>5623594.8342970004</v>
      </c>
      <c r="G5" s="3">
        <v>4288332.0437599998</v>
      </c>
      <c r="H5" s="3">
        <v>4288332.0437599998</v>
      </c>
      <c r="I5" s="1">
        <v>276.26502499999998</v>
      </c>
      <c r="J5" s="1">
        <v>68.734975000000006</v>
      </c>
      <c r="K5" s="1">
        <v>0</v>
      </c>
      <c r="L5" s="1">
        <v>0</v>
      </c>
      <c r="M5" s="2">
        <v>0.39808100000000002</v>
      </c>
      <c r="N5">
        <v>21252933.985971</v>
      </c>
      <c r="O5">
        <v>3</v>
      </c>
      <c r="Q5" s="1">
        <f t="shared" si="1"/>
        <v>345</v>
      </c>
      <c r="R5" s="1">
        <f t="shared" si="2"/>
        <v>345</v>
      </c>
      <c r="S5" s="1">
        <f t="shared" si="3"/>
        <v>345</v>
      </c>
      <c r="U5">
        <f t="shared" si="4"/>
        <v>12.8</v>
      </c>
    </row>
    <row r="6" spans="1:21" x14ac:dyDescent="0.25">
      <c r="A6">
        <v>355</v>
      </c>
      <c r="B6">
        <v>12800000</v>
      </c>
      <c r="C6" s="1">
        <v>12416000</v>
      </c>
      <c r="D6" s="1">
        <v>4418635.6563680004</v>
      </c>
      <c r="E6" s="3">
        <v>12416000</v>
      </c>
      <c r="F6" s="3">
        <v>6132748.0636919998</v>
      </c>
      <c r="G6" s="3">
        <v>4418635.6563680004</v>
      </c>
      <c r="H6" s="3">
        <v>4418635.6563680004</v>
      </c>
      <c r="I6" s="1">
        <v>276.26502499999998</v>
      </c>
      <c r="J6" s="1">
        <v>78.734975000000006</v>
      </c>
      <c r="K6" s="1">
        <v>0</v>
      </c>
      <c r="L6" s="1">
        <v>0</v>
      </c>
      <c r="M6" s="2">
        <v>0.45599699999999999</v>
      </c>
      <c r="N6">
        <v>21419549.196945</v>
      </c>
      <c r="O6">
        <v>3</v>
      </c>
      <c r="Q6" s="1">
        <f t="shared" si="1"/>
        <v>355</v>
      </c>
      <c r="R6" s="1">
        <f t="shared" si="2"/>
        <v>355</v>
      </c>
      <c r="S6" s="1">
        <f t="shared" si="3"/>
        <v>355</v>
      </c>
      <c r="U6">
        <f t="shared" si="4"/>
        <v>12.8</v>
      </c>
    </row>
    <row r="7" spans="1:21" x14ac:dyDescent="0.25">
      <c r="A7">
        <v>365</v>
      </c>
      <c r="B7">
        <v>12800000</v>
      </c>
      <c r="C7" s="1">
        <v>12416000</v>
      </c>
      <c r="D7" s="1">
        <v>4547431.2717779996</v>
      </c>
      <c r="E7" s="3">
        <v>12416000</v>
      </c>
      <c r="F7" s="3">
        <v>6681241.5899740001</v>
      </c>
      <c r="G7" s="3">
        <v>4547431.2717779996</v>
      </c>
      <c r="H7" s="3">
        <v>4547431.2717779996</v>
      </c>
      <c r="I7" s="1">
        <v>276.26502499999998</v>
      </c>
      <c r="J7" s="1">
        <v>88.734975000000006</v>
      </c>
      <c r="K7" s="1">
        <v>0</v>
      </c>
      <c r="L7" s="1">
        <v>0</v>
      </c>
      <c r="M7" s="2">
        <v>0.51391200000000004</v>
      </c>
      <c r="N7">
        <v>21694316.987069</v>
      </c>
      <c r="O7">
        <v>3</v>
      </c>
      <c r="Q7" s="1">
        <f t="shared" si="1"/>
        <v>365</v>
      </c>
      <c r="R7" s="1">
        <f t="shared" si="2"/>
        <v>365</v>
      </c>
      <c r="S7" s="1">
        <f t="shared" si="3"/>
        <v>365</v>
      </c>
      <c r="U7">
        <f t="shared" si="4"/>
        <v>12.8</v>
      </c>
    </row>
    <row r="8" spans="1:21" x14ac:dyDescent="0.25">
      <c r="A8">
        <v>375</v>
      </c>
      <c r="B8">
        <v>12800000</v>
      </c>
      <c r="C8" s="1">
        <v>12416000</v>
      </c>
      <c r="D8" s="1">
        <v>4675106.8165809996</v>
      </c>
      <c r="E8" s="3">
        <v>12416000</v>
      </c>
      <c r="F8" s="3">
        <v>7268386.4249499999</v>
      </c>
      <c r="G8" s="3">
        <v>4675106.8165809996</v>
      </c>
      <c r="H8" s="3">
        <v>4675106.8165809996</v>
      </c>
      <c r="I8" s="1">
        <v>276.26502499999998</v>
      </c>
      <c r="J8" s="1">
        <v>98.734975000000006</v>
      </c>
      <c r="K8" s="1">
        <v>0</v>
      </c>
      <c r="L8" s="1">
        <v>0</v>
      </c>
      <c r="M8" s="2">
        <v>0.571828</v>
      </c>
      <c r="N8">
        <v>22058208.194038</v>
      </c>
      <c r="O8">
        <v>3</v>
      </c>
      <c r="Q8" s="1">
        <f t="shared" si="1"/>
        <v>375</v>
      </c>
      <c r="R8" s="1">
        <f t="shared" si="2"/>
        <v>375</v>
      </c>
      <c r="S8" s="1">
        <f t="shared" si="3"/>
        <v>375</v>
      </c>
      <c r="U8">
        <f t="shared" si="4"/>
        <v>12.8</v>
      </c>
    </row>
    <row r="9" spans="1:21" x14ac:dyDescent="0.25">
      <c r="A9">
        <v>385</v>
      </c>
      <c r="B9">
        <v>12800000</v>
      </c>
      <c r="C9" s="1">
        <v>12416000</v>
      </c>
      <c r="D9" s="1">
        <v>4801768.1954180002</v>
      </c>
      <c r="E9" s="3">
        <v>12416000</v>
      </c>
      <c r="F9" s="3">
        <v>7893591.9833140001</v>
      </c>
      <c r="G9" s="3">
        <v>4801768.1954180002</v>
      </c>
      <c r="H9" s="3">
        <v>4801768.1954180002</v>
      </c>
      <c r="I9" s="1">
        <v>276.26502499999998</v>
      </c>
      <c r="J9" s="1">
        <v>108.73497500000001</v>
      </c>
      <c r="K9" s="1">
        <v>0</v>
      </c>
      <c r="L9" s="1">
        <v>0</v>
      </c>
      <c r="M9" s="2">
        <v>0.62974300000000005</v>
      </c>
      <c r="N9">
        <v>22496649.192225002</v>
      </c>
      <c r="O9">
        <v>3</v>
      </c>
      <c r="Q9" s="1">
        <f t="shared" si="1"/>
        <v>385</v>
      </c>
      <c r="R9" s="1">
        <f t="shared" si="2"/>
        <v>385</v>
      </c>
      <c r="S9" s="1">
        <f t="shared" si="3"/>
        <v>385</v>
      </c>
      <c r="U9">
        <f t="shared" si="4"/>
        <v>12.8</v>
      </c>
    </row>
    <row r="10" spans="1:21" x14ac:dyDescent="0.25">
      <c r="A10">
        <v>395</v>
      </c>
      <c r="B10">
        <v>12800000</v>
      </c>
      <c r="C10" s="1">
        <v>12416000</v>
      </c>
      <c r="D10" s="1">
        <v>4927610.3767879996</v>
      </c>
      <c r="E10" s="3">
        <v>12416000</v>
      </c>
      <c r="F10" s="3">
        <v>8556529.4397260007</v>
      </c>
      <c r="G10" s="3">
        <v>4927610.3767879996</v>
      </c>
      <c r="H10" s="3">
        <v>4927610.3767879996</v>
      </c>
      <c r="I10" s="1">
        <v>276.26502499999998</v>
      </c>
      <c r="J10" s="1">
        <v>118.73497500000001</v>
      </c>
      <c r="K10" s="1">
        <v>0</v>
      </c>
      <c r="L10" s="1">
        <v>0</v>
      </c>
      <c r="M10" s="2">
        <v>0.68765799999999999</v>
      </c>
      <c r="N10">
        <v>22997016.755964998</v>
      </c>
      <c r="O10">
        <v>3</v>
      </c>
      <c r="Q10" s="1">
        <f t="shared" si="1"/>
        <v>395</v>
      </c>
      <c r="R10" s="1">
        <f t="shared" si="2"/>
        <v>395</v>
      </c>
      <c r="S10" s="1">
        <f t="shared" si="3"/>
        <v>395</v>
      </c>
      <c r="U10">
        <f t="shared" si="4"/>
        <v>12.8</v>
      </c>
    </row>
    <row r="11" spans="1:21" x14ac:dyDescent="0.25">
      <c r="A11">
        <v>405</v>
      </c>
      <c r="B11">
        <v>12800000</v>
      </c>
      <c r="C11" s="1">
        <v>12416000</v>
      </c>
      <c r="D11" s="1">
        <v>5052869.7268430004</v>
      </c>
      <c r="E11" s="3">
        <v>12416000</v>
      </c>
      <c r="F11" s="3">
        <v>9257044.1078249998</v>
      </c>
      <c r="G11" s="3">
        <v>5052869.7268430004</v>
      </c>
      <c r="H11" s="3">
        <v>5052869.7268430004</v>
      </c>
      <c r="I11" s="1">
        <v>276.26502499999998</v>
      </c>
      <c r="J11" s="1">
        <v>128.73497499999999</v>
      </c>
      <c r="K11" s="1">
        <v>0</v>
      </c>
      <c r="L11" s="1">
        <v>0</v>
      </c>
      <c r="M11" s="2">
        <v>0.74557399999999996</v>
      </c>
      <c r="N11">
        <v>23548363.286497999</v>
      </c>
      <c r="O11">
        <v>4</v>
      </c>
      <c r="Q11" s="1">
        <f t="shared" si="1"/>
        <v>405</v>
      </c>
      <c r="R11" s="1">
        <f t="shared" si="2"/>
        <v>405</v>
      </c>
      <c r="S11" s="1">
        <f t="shared" si="3"/>
        <v>405</v>
      </c>
      <c r="U11">
        <f t="shared" si="4"/>
        <v>12.8</v>
      </c>
    </row>
    <row r="12" spans="1:21" x14ac:dyDescent="0.25">
      <c r="A12">
        <v>415</v>
      </c>
      <c r="B12">
        <v>12800000</v>
      </c>
      <c r="C12" s="1">
        <v>12416000</v>
      </c>
      <c r="D12" s="1">
        <v>5177551.981222</v>
      </c>
      <c r="E12" s="3">
        <v>12416000</v>
      </c>
      <c r="F12" s="3">
        <v>9976121.7401170004</v>
      </c>
      <c r="G12" s="3">
        <v>5177551.981222</v>
      </c>
      <c r="H12" s="3">
        <v>5177551.981222</v>
      </c>
      <c r="I12" s="1">
        <v>276.26502499999998</v>
      </c>
      <c r="J12" s="1">
        <v>138.73497499999999</v>
      </c>
      <c r="K12" s="1">
        <v>0</v>
      </c>
      <c r="L12" s="1">
        <v>0</v>
      </c>
      <c r="M12" s="2">
        <v>0.80348900000000001</v>
      </c>
      <c r="N12">
        <v>24121641.051401999</v>
      </c>
      <c r="O12">
        <v>4</v>
      </c>
      <c r="Q12" s="1">
        <f t="shared" si="1"/>
        <v>415</v>
      </c>
      <c r="R12" s="1">
        <f t="shared" si="2"/>
        <v>415</v>
      </c>
      <c r="S12" s="1">
        <f t="shared" si="3"/>
        <v>415</v>
      </c>
      <c r="U12">
        <f t="shared" si="4"/>
        <v>12.8</v>
      </c>
    </row>
    <row r="13" spans="1:21" x14ac:dyDescent="0.25">
      <c r="A13">
        <v>425</v>
      </c>
      <c r="B13">
        <v>12800000</v>
      </c>
      <c r="C13" s="1">
        <v>12416000</v>
      </c>
      <c r="D13" s="1">
        <v>5302251.172421</v>
      </c>
      <c r="E13" s="3">
        <v>12416000</v>
      </c>
      <c r="F13" s="3">
        <v>10695199.372408999</v>
      </c>
      <c r="G13" s="3">
        <v>5302251.172421</v>
      </c>
      <c r="H13" s="3">
        <v>5302251.172421</v>
      </c>
      <c r="I13" s="1">
        <v>276.26502499999998</v>
      </c>
      <c r="J13" s="1">
        <v>148.73497499999999</v>
      </c>
      <c r="K13" s="1">
        <v>0</v>
      </c>
      <c r="L13" s="1">
        <v>0</v>
      </c>
      <c r="M13" s="2">
        <v>0.86140499999999998</v>
      </c>
      <c r="N13">
        <v>24690906.754384</v>
      </c>
      <c r="O13">
        <v>4</v>
      </c>
      <c r="Q13" s="1">
        <f t="shared" si="1"/>
        <v>425</v>
      </c>
      <c r="R13" s="1">
        <f t="shared" si="2"/>
        <v>425</v>
      </c>
      <c r="S13" s="1">
        <f t="shared" si="3"/>
        <v>425</v>
      </c>
      <c r="U13">
        <f t="shared" si="4"/>
        <v>12.8</v>
      </c>
    </row>
    <row r="14" spans="1:21" x14ac:dyDescent="0.25">
      <c r="A14">
        <v>435</v>
      </c>
      <c r="B14">
        <v>12800000</v>
      </c>
      <c r="C14" s="1">
        <v>12416000</v>
      </c>
      <c r="D14" s="1">
        <v>5427033.9080630001</v>
      </c>
      <c r="E14" s="3">
        <v>12416000</v>
      </c>
      <c r="F14" s="3">
        <v>11414277.004701</v>
      </c>
      <c r="G14" s="3">
        <v>5427033.9080630001</v>
      </c>
      <c r="H14" s="3">
        <v>5427033.9080630001</v>
      </c>
      <c r="I14" s="1">
        <v>276.26502499999998</v>
      </c>
      <c r="J14" s="1">
        <v>158.73497499999999</v>
      </c>
      <c r="K14" s="1">
        <v>0</v>
      </c>
      <c r="L14" s="1">
        <v>0</v>
      </c>
      <c r="M14" s="2">
        <v>0.91932000000000003</v>
      </c>
      <c r="N14">
        <v>25255781.127138</v>
      </c>
      <c r="O14">
        <v>4</v>
      </c>
      <c r="Q14" s="1">
        <f t="shared" si="1"/>
        <v>435</v>
      </c>
      <c r="R14" s="1">
        <f t="shared" si="2"/>
        <v>435</v>
      </c>
      <c r="S14" s="1">
        <f t="shared" si="3"/>
        <v>435</v>
      </c>
      <c r="U14">
        <f t="shared" si="4"/>
        <v>12.8</v>
      </c>
    </row>
    <row r="15" spans="1:21" x14ac:dyDescent="0.25">
      <c r="A15">
        <v>445</v>
      </c>
      <c r="B15">
        <v>12800000</v>
      </c>
      <c r="C15" s="1">
        <v>12416000</v>
      </c>
      <c r="D15" s="1">
        <v>5551923.2523079999</v>
      </c>
      <c r="E15" s="3">
        <v>12416000</v>
      </c>
      <c r="F15" s="3">
        <v>12133354.636993</v>
      </c>
      <c r="G15" s="3">
        <v>5551923.2523079999</v>
      </c>
      <c r="H15" s="3">
        <v>5551923.2523079999</v>
      </c>
      <c r="I15" s="1">
        <v>276.26502499999998</v>
      </c>
      <c r="J15" s="1">
        <v>168.73497499999999</v>
      </c>
      <c r="K15" s="1">
        <v>0</v>
      </c>
      <c r="L15" s="1">
        <v>0</v>
      </c>
      <c r="M15" s="2">
        <v>0.97723499999999996</v>
      </c>
      <c r="N15">
        <v>25815680.776239</v>
      </c>
      <c r="O15">
        <v>4</v>
      </c>
      <c r="Q15" s="1">
        <f t="shared" si="1"/>
        <v>445</v>
      </c>
      <c r="R15" s="1">
        <f t="shared" si="2"/>
        <v>445</v>
      </c>
      <c r="S15" s="1">
        <f t="shared" si="3"/>
        <v>445</v>
      </c>
      <c r="U15">
        <f t="shared" si="4"/>
        <v>12.8</v>
      </c>
    </row>
    <row r="16" spans="1:21" x14ac:dyDescent="0.25">
      <c r="A16">
        <v>455</v>
      </c>
      <c r="B16">
        <v>12800000</v>
      </c>
      <c r="C16" s="1">
        <v>12416000</v>
      </c>
      <c r="D16" s="1">
        <v>5692459.1485959999</v>
      </c>
      <c r="E16" s="3">
        <v>12416000</v>
      </c>
      <c r="F16" s="3">
        <v>12416000</v>
      </c>
      <c r="G16" s="3">
        <v>5704329.7149470001</v>
      </c>
      <c r="H16" s="3">
        <v>5692459.1485959999</v>
      </c>
      <c r="I16" s="1">
        <v>276.26502499999998</v>
      </c>
      <c r="J16" s="1">
        <v>172.66564099999999</v>
      </c>
      <c r="K16" s="1">
        <v>6.0693349999999997</v>
      </c>
      <c r="L16" s="1">
        <v>0</v>
      </c>
      <c r="M16" s="2">
        <v>4.3937999999999998E-2</v>
      </c>
      <c r="N16">
        <v>25210882.274365</v>
      </c>
      <c r="O16">
        <v>3</v>
      </c>
      <c r="Q16" s="1">
        <f t="shared" si="1"/>
        <v>448.93066599999997</v>
      </c>
      <c r="R16" s="1">
        <f t="shared" si="2"/>
        <v>455.000001</v>
      </c>
      <c r="S16" s="1">
        <f t="shared" si="3"/>
        <v>455.000001</v>
      </c>
      <c r="U16">
        <f t="shared" si="4"/>
        <v>12.8</v>
      </c>
    </row>
    <row r="17" spans="1:21" x14ac:dyDescent="0.25">
      <c r="A17">
        <v>465</v>
      </c>
      <c r="B17">
        <v>12800000</v>
      </c>
      <c r="C17" s="1">
        <v>12416000</v>
      </c>
      <c r="D17" s="1">
        <v>5840234.1659789998</v>
      </c>
      <c r="E17" s="3">
        <v>12416000</v>
      </c>
      <c r="F17" s="3">
        <v>12416000</v>
      </c>
      <c r="G17" s="3">
        <v>5921437.7555090003</v>
      </c>
      <c r="H17" s="3">
        <v>5840234.1659789998</v>
      </c>
      <c r="I17" s="1">
        <v>276.26502499999998</v>
      </c>
      <c r="J17" s="1">
        <v>172.66564099999999</v>
      </c>
      <c r="K17" s="1">
        <v>16.069334999999999</v>
      </c>
      <c r="L17" s="1">
        <v>0</v>
      </c>
      <c r="M17" s="2">
        <v>0.11633300000000001</v>
      </c>
      <c r="N17">
        <v>24065670.262203</v>
      </c>
      <c r="O17">
        <v>3</v>
      </c>
      <c r="Q17" s="1">
        <f t="shared" si="1"/>
        <v>448.93066599999997</v>
      </c>
      <c r="R17" s="1">
        <f t="shared" si="2"/>
        <v>465.000001</v>
      </c>
      <c r="S17" s="1">
        <f t="shared" si="3"/>
        <v>465.000001</v>
      </c>
      <c r="U17">
        <f t="shared" si="4"/>
        <v>12.8</v>
      </c>
    </row>
    <row r="18" spans="1:21" x14ac:dyDescent="0.25">
      <c r="A18">
        <v>475</v>
      </c>
      <c r="B18">
        <v>12800000</v>
      </c>
      <c r="C18" s="1">
        <v>12416000</v>
      </c>
      <c r="D18" s="1">
        <v>5985039.0081439996</v>
      </c>
      <c r="E18" s="3">
        <v>12416000</v>
      </c>
      <c r="F18" s="3">
        <v>12416000</v>
      </c>
      <c r="G18" s="3">
        <v>6194030.9925520001</v>
      </c>
      <c r="H18" s="3">
        <v>5985039.0081439996</v>
      </c>
      <c r="I18" s="1">
        <v>276.26502499999998</v>
      </c>
      <c r="J18" s="1">
        <v>172.66564099999999</v>
      </c>
      <c r="K18" s="1">
        <v>26.069334999999999</v>
      </c>
      <c r="L18" s="1">
        <v>0</v>
      </c>
      <c r="M18" s="2">
        <v>0.18872700000000001</v>
      </c>
      <c r="N18">
        <v>23154251.588613</v>
      </c>
      <c r="O18">
        <v>3</v>
      </c>
      <c r="Q18" s="1">
        <f t="shared" si="1"/>
        <v>448.93066599999997</v>
      </c>
      <c r="R18" s="1">
        <f t="shared" si="2"/>
        <v>475.000001</v>
      </c>
      <c r="S18" s="1">
        <f t="shared" si="3"/>
        <v>475.000001</v>
      </c>
      <c r="U18">
        <f t="shared" si="4"/>
        <v>12.8</v>
      </c>
    </row>
    <row r="19" spans="1:21" x14ac:dyDescent="0.25">
      <c r="A19">
        <v>485</v>
      </c>
      <c r="B19">
        <v>12800000</v>
      </c>
      <c r="C19" s="1">
        <v>12416000</v>
      </c>
      <c r="D19" s="1">
        <v>6127148.6046139998</v>
      </c>
      <c r="E19" s="3">
        <v>12416000</v>
      </c>
      <c r="F19" s="3">
        <v>12416000</v>
      </c>
      <c r="G19" s="3">
        <v>6519106.4650180005</v>
      </c>
      <c r="H19" s="3">
        <v>6127148.6046139998</v>
      </c>
      <c r="I19" s="1">
        <v>276.26502499999998</v>
      </c>
      <c r="J19" s="1">
        <v>172.66564099999999</v>
      </c>
      <c r="K19" s="1">
        <v>36.069335000000002</v>
      </c>
      <c r="L19" s="1">
        <v>0</v>
      </c>
      <c r="M19" s="2">
        <v>0.26112099999999999</v>
      </c>
      <c r="N19">
        <v>22447060.915791001</v>
      </c>
      <c r="O19">
        <v>3</v>
      </c>
      <c r="Q19" s="1">
        <f t="shared" si="1"/>
        <v>448.93066599999997</v>
      </c>
      <c r="R19" s="1">
        <f t="shared" si="2"/>
        <v>485.000001</v>
      </c>
      <c r="S19" s="1">
        <f t="shared" si="3"/>
        <v>485.000001</v>
      </c>
      <c r="U19">
        <f t="shared" si="4"/>
        <v>12.8</v>
      </c>
    </row>
    <row r="20" spans="1:21" x14ac:dyDescent="0.25">
      <c r="A20">
        <v>495</v>
      </c>
      <c r="B20">
        <v>12800000</v>
      </c>
      <c r="C20" s="1">
        <v>12416000</v>
      </c>
      <c r="D20" s="1">
        <v>6266935.644258</v>
      </c>
      <c r="E20" s="3">
        <v>12416000</v>
      </c>
      <c r="F20" s="3">
        <v>12416000</v>
      </c>
      <c r="G20" s="3">
        <v>6894407.7042439999</v>
      </c>
      <c r="H20" s="3">
        <v>6266935.644258</v>
      </c>
      <c r="I20" s="1">
        <v>276.26502499999998</v>
      </c>
      <c r="J20" s="1">
        <v>172.66564099999999</v>
      </c>
      <c r="K20" s="1">
        <v>46.069335000000002</v>
      </c>
      <c r="L20" s="1">
        <v>0</v>
      </c>
      <c r="M20" s="2">
        <v>0.33351599999999998</v>
      </c>
      <c r="N20">
        <v>21916540.452179</v>
      </c>
      <c r="O20">
        <v>3</v>
      </c>
      <c r="Q20" s="1">
        <f t="shared" si="1"/>
        <v>448.93066599999997</v>
      </c>
      <c r="R20" s="1">
        <f t="shared" si="2"/>
        <v>495.000001</v>
      </c>
      <c r="S20" s="1">
        <f t="shared" si="3"/>
        <v>495.000001</v>
      </c>
      <c r="U20">
        <f t="shared" si="4"/>
        <v>12.8</v>
      </c>
    </row>
    <row r="21" spans="1:21" x14ac:dyDescent="0.25">
      <c r="A21">
        <v>505</v>
      </c>
      <c r="B21" s="1">
        <v>12800000</v>
      </c>
      <c r="C21" s="1">
        <v>12416000</v>
      </c>
      <c r="D21" s="1">
        <v>6404813.2555950005</v>
      </c>
      <c r="E21" s="3">
        <v>12416000</v>
      </c>
      <c r="F21" s="3">
        <v>12416000</v>
      </c>
      <c r="G21" s="3">
        <v>7318217.3931339998</v>
      </c>
      <c r="H21" s="3">
        <v>6404813.2555950005</v>
      </c>
      <c r="I21" s="1">
        <v>276.26502499999998</v>
      </c>
      <c r="J21" s="1">
        <v>172.66564099999999</v>
      </c>
      <c r="K21" s="1">
        <v>56.069335000000002</v>
      </c>
      <c r="L21" s="1">
        <v>0</v>
      </c>
      <c r="M21" s="2">
        <v>0.40590999999999999</v>
      </c>
      <c r="N21" s="1">
        <v>21537561.773391999</v>
      </c>
      <c r="O21" s="1">
        <v>3</v>
      </c>
      <c r="Q21" s="1">
        <f t="shared" si="1"/>
        <v>448.93066599999997</v>
      </c>
      <c r="R21" s="1">
        <f t="shared" si="2"/>
        <v>505.000001</v>
      </c>
      <c r="S21" s="1">
        <f t="shared" si="3"/>
        <v>505.000001</v>
      </c>
      <c r="U21">
        <f t="shared" si="4"/>
        <v>12.8</v>
      </c>
    </row>
    <row r="22" spans="1:21" x14ac:dyDescent="0.25">
      <c r="A22">
        <v>515</v>
      </c>
      <c r="B22">
        <v>12800000</v>
      </c>
      <c r="C22" s="1">
        <v>12416000</v>
      </c>
      <c r="D22" s="1">
        <v>6540936.6280070003</v>
      </c>
      <c r="E22" s="3">
        <v>12416000</v>
      </c>
      <c r="F22" s="3">
        <v>12416000</v>
      </c>
      <c r="G22" s="3">
        <v>7788997.5246230001</v>
      </c>
      <c r="H22" s="3">
        <v>6540936.6280070003</v>
      </c>
      <c r="I22" s="1">
        <v>276.26502499999998</v>
      </c>
      <c r="J22" s="1">
        <v>172.66564099999999</v>
      </c>
      <c r="K22" s="1">
        <v>66.069334999999995</v>
      </c>
      <c r="L22" s="1">
        <v>0</v>
      </c>
      <c r="M22" s="2">
        <v>0.47830400000000001</v>
      </c>
      <c r="N22">
        <v>21288896.542397998</v>
      </c>
      <c r="O22">
        <v>3</v>
      </c>
      <c r="Q22" s="1">
        <f t="shared" si="1"/>
        <v>448.93066599999997</v>
      </c>
      <c r="R22" s="1">
        <f t="shared" si="2"/>
        <v>515.000001</v>
      </c>
      <c r="S22" s="1">
        <f t="shared" si="3"/>
        <v>515.000001</v>
      </c>
      <c r="U22">
        <f t="shared" si="4"/>
        <v>12.8</v>
      </c>
    </row>
    <row r="23" spans="1:21" x14ac:dyDescent="0.25">
      <c r="A23">
        <v>525</v>
      </c>
      <c r="B23">
        <v>12800000</v>
      </c>
      <c r="C23" s="1">
        <v>12416000</v>
      </c>
      <c r="D23" s="1">
        <v>6675729.1629870003</v>
      </c>
      <c r="E23" s="3">
        <v>12416000</v>
      </c>
      <c r="F23" s="3">
        <v>12416000</v>
      </c>
      <c r="G23" s="3">
        <v>8305766.6224499997</v>
      </c>
      <c r="H23" s="3">
        <v>6675729.1629870003</v>
      </c>
      <c r="I23" s="1">
        <v>276.26502499999998</v>
      </c>
      <c r="J23" s="1">
        <v>172.66564099999999</v>
      </c>
      <c r="K23" s="1">
        <v>76.069334999999995</v>
      </c>
      <c r="L23" s="1">
        <v>0</v>
      </c>
      <c r="M23" s="2">
        <v>0.55069800000000002</v>
      </c>
      <c r="N23">
        <v>21150370.906188</v>
      </c>
      <c r="O23">
        <v>3</v>
      </c>
      <c r="Q23" s="1">
        <f t="shared" si="1"/>
        <v>448.93066599999997</v>
      </c>
      <c r="R23" s="1">
        <f t="shared" si="2"/>
        <v>525.000001</v>
      </c>
      <c r="S23" s="1">
        <f t="shared" si="3"/>
        <v>525.000001</v>
      </c>
      <c r="U23">
        <f t="shared" si="4"/>
        <v>12.8</v>
      </c>
    </row>
    <row r="24" spans="1:21" x14ac:dyDescent="0.25">
      <c r="A24">
        <v>535</v>
      </c>
      <c r="B24">
        <v>12800000</v>
      </c>
      <c r="C24" s="1">
        <v>12416000</v>
      </c>
      <c r="D24" s="1">
        <v>6809264.7691500001</v>
      </c>
      <c r="E24" s="3">
        <v>12416000</v>
      </c>
      <c r="F24" s="3">
        <v>12416000</v>
      </c>
      <c r="G24" s="3">
        <v>8867916.3238089997</v>
      </c>
      <c r="H24" s="3">
        <v>6809264.7691500001</v>
      </c>
      <c r="I24" s="1">
        <v>276.261079</v>
      </c>
      <c r="J24" s="1">
        <v>172.663174</v>
      </c>
      <c r="K24" s="1">
        <v>86.075747000000007</v>
      </c>
      <c r="L24" s="1">
        <v>0</v>
      </c>
      <c r="M24" s="2">
        <v>0.62314800000000004</v>
      </c>
      <c r="N24">
        <v>21104147.023366999</v>
      </c>
      <c r="O24">
        <v>1</v>
      </c>
      <c r="P24" s="1"/>
      <c r="Q24" s="1">
        <f t="shared" si="1"/>
        <v>448.92425300000002</v>
      </c>
      <c r="R24" s="1">
        <f t="shared" si="2"/>
        <v>535</v>
      </c>
      <c r="S24" s="1">
        <f t="shared" si="3"/>
        <v>535</v>
      </c>
      <c r="U24">
        <f t="shared" si="4"/>
        <v>12.8</v>
      </c>
    </row>
    <row r="25" spans="1:21" x14ac:dyDescent="0.25">
      <c r="A25">
        <v>545</v>
      </c>
      <c r="B25">
        <v>12800000</v>
      </c>
      <c r="C25" s="1">
        <v>12416000</v>
      </c>
      <c r="D25" s="1">
        <v>6941563.1105350005</v>
      </c>
      <c r="E25" s="3">
        <v>12416000</v>
      </c>
      <c r="F25" s="3">
        <v>12416000</v>
      </c>
      <c r="G25" s="3">
        <v>9485995.3525109999</v>
      </c>
      <c r="H25" s="3">
        <v>6941563.1105350005</v>
      </c>
      <c r="I25" s="1">
        <v>276.150308</v>
      </c>
      <c r="J25" s="1">
        <v>172.593942</v>
      </c>
      <c r="K25" s="1">
        <v>96.255750000000006</v>
      </c>
      <c r="L25" s="1">
        <v>0</v>
      </c>
      <c r="M25" s="2">
        <v>0.69712600000000002</v>
      </c>
      <c r="N25">
        <v>21139374.906943001</v>
      </c>
      <c r="O25">
        <v>1</v>
      </c>
      <c r="P25" s="1"/>
      <c r="Q25" s="1">
        <f t="shared" si="1"/>
        <v>448.74424999999997</v>
      </c>
      <c r="R25" s="1">
        <f t="shared" si="2"/>
        <v>545</v>
      </c>
      <c r="S25" s="1">
        <f t="shared" si="3"/>
        <v>545</v>
      </c>
      <c r="U25">
        <f t="shared" si="4"/>
        <v>12.8</v>
      </c>
    </row>
    <row r="26" spans="1:21" x14ac:dyDescent="0.25">
      <c r="A26">
        <v>555</v>
      </c>
      <c r="B26">
        <v>12800000</v>
      </c>
      <c r="C26" s="1">
        <v>12416000</v>
      </c>
      <c r="D26" s="1">
        <v>7072796.2340099998</v>
      </c>
      <c r="E26" s="3">
        <v>12416000</v>
      </c>
      <c r="F26" s="3">
        <v>12416000</v>
      </c>
      <c r="G26" s="3">
        <v>10169133.553296</v>
      </c>
      <c r="H26" s="3">
        <v>7072796.2340099998</v>
      </c>
      <c r="I26" s="1">
        <v>275.88987400000002</v>
      </c>
      <c r="J26" s="1">
        <v>172.43117100000001</v>
      </c>
      <c r="K26" s="1">
        <v>106.678955</v>
      </c>
      <c r="L26" s="1">
        <v>0</v>
      </c>
      <c r="M26" s="2">
        <v>0.77334400000000003</v>
      </c>
      <c r="N26">
        <v>21258467.160735998</v>
      </c>
      <c r="O26">
        <v>1</v>
      </c>
      <c r="P26" s="1"/>
      <c r="Q26" s="1">
        <f t="shared" si="1"/>
        <v>448.32104500000003</v>
      </c>
      <c r="R26" s="1">
        <f t="shared" si="2"/>
        <v>555</v>
      </c>
      <c r="S26" s="1">
        <f t="shared" si="3"/>
        <v>555</v>
      </c>
      <c r="U26">
        <f t="shared" si="4"/>
        <v>12.8</v>
      </c>
    </row>
    <row r="27" spans="1:21" x14ac:dyDescent="0.25">
      <c r="A27">
        <v>565</v>
      </c>
      <c r="B27">
        <v>12800000</v>
      </c>
      <c r="C27" s="1">
        <v>12416000</v>
      </c>
      <c r="D27" s="1">
        <v>7202902.037451</v>
      </c>
      <c r="E27" s="3">
        <v>12416000</v>
      </c>
      <c r="F27" s="3">
        <v>12416000</v>
      </c>
      <c r="G27" s="3">
        <v>10923271.97614</v>
      </c>
      <c r="H27" s="3">
        <v>7202902.037451</v>
      </c>
      <c r="I27" s="1">
        <v>275.48323900000003</v>
      </c>
      <c r="J27" s="1">
        <v>172.17702399999999</v>
      </c>
      <c r="K27" s="1">
        <v>117.339737</v>
      </c>
      <c r="L27" s="1">
        <v>0</v>
      </c>
      <c r="M27" s="2">
        <v>0.85188299999999995</v>
      </c>
      <c r="N27">
        <v>21457084.672421001</v>
      </c>
      <c r="O27">
        <v>1</v>
      </c>
      <c r="P27" s="1"/>
      <c r="Q27" s="1">
        <f t="shared" si="1"/>
        <v>447.66026299999999</v>
      </c>
      <c r="R27" s="1">
        <f t="shared" si="2"/>
        <v>565</v>
      </c>
      <c r="S27" s="1">
        <f t="shared" si="3"/>
        <v>565</v>
      </c>
      <c r="U27">
        <f t="shared" si="4"/>
        <v>12.8</v>
      </c>
    </row>
    <row r="28" spans="1:21" x14ac:dyDescent="0.25">
      <c r="A28">
        <v>575</v>
      </c>
      <c r="B28">
        <v>12800000</v>
      </c>
      <c r="C28" s="1">
        <v>12416000</v>
      </c>
      <c r="D28" s="1">
        <v>7332083.0976</v>
      </c>
      <c r="E28" s="3">
        <v>12416000</v>
      </c>
      <c r="F28" s="3">
        <v>12416000</v>
      </c>
      <c r="G28" s="3">
        <v>11755655.808758</v>
      </c>
      <c r="H28" s="3">
        <v>7332083.0976</v>
      </c>
      <c r="I28" s="1">
        <v>274.93261899999999</v>
      </c>
      <c r="J28" s="1">
        <v>171.832887</v>
      </c>
      <c r="K28" s="1">
        <v>128.23449400000001</v>
      </c>
      <c r="L28" s="1">
        <v>0</v>
      </c>
      <c r="M28" s="2">
        <v>0.93284299999999998</v>
      </c>
      <c r="N28">
        <v>21729736.606529001</v>
      </c>
      <c r="O28">
        <v>1</v>
      </c>
      <c r="P28" s="1"/>
      <c r="Q28" s="1">
        <f t="shared" si="1"/>
        <v>446.76550599999996</v>
      </c>
      <c r="R28" s="1">
        <f t="shared" si="2"/>
        <v>575</v>
      </c>
      <c r="S28" s="1">
        <f t="shared" si="3"/>
        <v>575</v>
      </c>
      <c r="U28">
        <f t="shared" si="4"/>
        <v>12.8</v>
      </c>
    </row>
    <row r="29" spans="1:21" x14ac:dyDescent="0.25">
      <c r="A29">
        <v>585</v>
      </c>
      <c r="B29">
        <v>12800000</v>
      </c>
      <c r="C29" s="1">
        <v>12416000</v>
      </c>
      <c r="D29" s="1">
        <v>7469582.5623110002</v>
      </c>
      <c r="E29" s="3">
        <v>12416000</v>
      </c>
      <c r="F29" s="3">
        <v>12416000</v>
      </c>
      <c r="G29" s="3">
        <v>12416000</v>
      </c>
      <c r="H29" s="3">
        <v>7472045.3171260003</v>
      </c>
      <c r="I29" s="1">
        <v>274.18475799999999</v>
      </c>
      <c r="J29" s="1">
        <v>171.36547400000001</v>
      </c>
      <c r="K29" s="1">
        <v>137.09237899999999</v>
      </c>
      <c r="L29" s="1">
        <v>2.3573900000000001</v>
      </c>
      <c r="M29" s="2">
        <v>2.2928E-2</v>
      </c>
      <c r="N29">
        <v>21642505.192625001</v>
      </c>
      <c r="O29">
        <v>1</v>
      </c>
      <c r="P29" s="1"/>
      <c r="Q29" s="1">
        <f t="shared" si="1"/>
        <v>445.55023199999999</v>
      </c>
      <c r="R29" s="1">
        <f t="shared" si="2"/>
        <v>582.64261099999999</v>
      </c>
      <c r="S29" s="1">
        <f t="shared" si="3"/>
        <v>585.000001</v>
      </c>
      <c r="U29">
        <f t="shared" si="4"/>
        <v>12.8</v>
      </c>
    </row>
    <row r="30" spans="1:21" x14ac:dyDescent="0.25">
      <c r="A30">
        <v>595</v>
      </c>
      <c r="B30">
        <v>12800000</v>
      </c>
      <c r="C30" s="1">
        <v>12416000</v>
      </c>
      <c r="D30" s="1">
        <v>7617885.0865280004</v>
      </c>
      <c r="E30" s="3">
        <v>12416000</v>
      </c>
      <c r="F30" s="3">
        <v>12416000</v>
      </c>
      <c r="G30" s="3">
        <v>12416000</v>
      </c>
      <c r="H30" s="3">
        <v>7709667.8608440002</v>
      </c>
      <c r="I30" s="1">
        <v>273.189573</v>
      </c>
      <c r="J30" s="1">
        <v>170.743483</v>
      </c>
      <c r="K30" s="1">
        <v>136.594786</v>
      </c>
      <c r="L30" s="1">
        <v>14.472158</v>
      </c>
      <c r="M30" s="2">
        <v>0.141266</v>
      </c>
      <c r="N30">
        <v>20427211.974978</v>
      </c>
      <c r="O30">
        <v>1</v>
      </c>
      <c r="P30" s="1"/>
      <c r="Q30" s="1">
        <f t="shared" si="1"/>
        <v>443.93305599999997</v>
      </c>
      <c r="R30" s="1">
        <f t="shared" si="2"/>
        <v>580.52784199999996</v>
      </c>
      <c r="S30" s="1">
        <f t="shared" si="3"/>
        <v>595</v>
      </c>
      <c r="U30">
        <f t="shared" si="4"/>
        <v>12.8</v>
      </c>
    </row>
    <row r="31" spans="1:21" x14ac:dyDescent="0.25">
      <c r="A31">
        <v>605</v>
      </c>
      <c r="B31" s="1">
        <v>12800000</v>
      </c>
      <c r="C31" s="1">
        <v>12416000</v>
      </c>
      <c r="D31" s="1">
        <v>7762688.6360470001</v>
      </c>
      <c r="E31" s="3">
        <v>12416000</v>
      </c>
      <c r="F31" s="3">
        <v>12416000</v>
      </c>
      <c r="G31" s="3">
        <v>12416000</v>
      </c>
      <c r="H31" s="3">
        <v>8078451.8224130003</v>
      </c>
      <c r="I31" s="1">
        <v>272.02703500000001</v>
      </c>
      <c r="J31" s="1">
        <v>170.016897</v>
      </c>
      <c r="K31" s="1">
        <v>136.01351700000001</v>
      </c>
      <c r="L31" s="1">
        <v>26.942551000000002</v>
      </c>
      <c r="M31" s="2">
        <v>0.26411600000000002</v>
      </c>
      <c r="N31" s="1">
        <v>19490493.507619001</v>
      </c>
      <c r="O31" s="1">
        <v>1</v>
      </c>
      <c r="P31" s="1"/>
      <c r="Q31" s="1">
        <f t="shared" ref="Q31:Q36" si="5">I31+J31</f>
        <v>442.04393200000004</v>
      </c>
      <c r="R31" s="1">
        <f t="shared" ref="R31:R36" si="6">I31+J31+K31</f>
        <v>578.05744900000002</v>
      </c>
      <c r="S31" s="1">
        <f t="shared" ref="S31:S36" si="7">I31+J31+K31+L31</f>
        <v>605</v>
      </c>
      <c r="U31">
        <f t="shared" si="4"/>
        <v>12.8</v>
      </c>
    </row>
    <row r="32" spans="1:21" x14ac:dyDescent="0.25">
      <c r="A32">
        <v>615</v>
      </c>
      <c r="B32">
        <v>12800000</v>
      </c>
      <c r="C32" s="1">
        <v>12416000</v>
      </c>
      <c r="D32" s="1">
        <v>7904049.6807970004</v>
      </c>
      <c r="E32" s="3">
        <v>12416000</v>
      </c>
      <c r="F32" s="3">
        <v>12416000</v>
      </c>
      <c r="G32" s="3">
        <v>12416000</v>
      </c>
      <c r="H32" s="3">
        <v>8588723.5457990002</v>
      </c>
      <c r="I32" s="1">
        <v>270.70791200000002</v>
      </c>
      <c r="J32" s="1">
        <v>169.19244499999999</v>
      </c>
      <c r="K32" s="1">
        <v>135.35395600000001</v>
      </c>
      <c r="L32" s="1">
        <v>39.745688000000001</v>
      </c>
      <c r="M32" s="2">
        <v>0.39152300000000001</v>
      </c>
      <c r="N32">
        <v>18818923.053015001</v>
      </c>
      <c r="O32">
        <v>1</v>
      </c>
      <c r="P32" s="1"/>
      <c r="Q32" s="1">
        <f t="shared" si="5"/>
        <v>439.90035699999999</v>
      </c>
      <c r="R32" s="1">
        <f t="shared" si="6"/>
        <v>575.25431300000002</v>
      </c>
      <c r="S32" s="1">
        <f t="shared" si="7"/>
        <v>615.000001</v>
      </c>
      <c r="U32">
        <f t="shared" si="4"/>
        <v>12.8</v>
      </c>
    </row>
    <row r="33" spans="1:21" x14ac:dyDescent="0.25">
      <c r="A33">
        <v>625</v>
      </c>
      <c r="B33">
        <v>12800000</v>
      </c>
      <c r="C33" s="1">
        <v>12416000</v>
      </c>
      <c r="D33" s="1">
        <v>8042343.1120039998</v>
      </c>
      <c r="E33" s="3">
        <v>12416000</v>
      </c>
      <c r="F33" s="3">
        <v>12416000</v>
      </c>
      <c r="G33" s="3">
        <v>12416000</v>
      </c>
      <c r="H33" s="3">
        <v>9253863.8393120002</v>
      </c>
      <c r="I33" s="1">
        <v>269.23870199999999</v>
      </c>
      <c r="J33" s="1">
        <v>168.27418900000001</v>
      </c>
      <c r="K33" s="1">
        <v>134.61935099999999</v>
      </c>
      <c r="L33" s="1">
        <v>52.867758000000002</v>
      </c>
      <c r="M33" s="2">
        <v>0.52362699999999995</v>
      </c>
      <c r="N33">
        <v>18392787.951754</v>
      </c>
      <c r="O33">
        <v>1</v>
      </c>
      <c r="P33" s="1"/>
      <c r="Q33" s="1">
        <f t="shared" si="5"/>
        <v>437.51289099999997</v>
      </c>
      <c r="R33" s="1">
        <f t="shared" si="6"/>
        <v>572.13224199999991</v>
      </c>
      <c r="S33" s="1">
        <f t="shared" si="7"/>
        <v>624.99999999999989</v>
      </c>
      <c r="U33">
        <f t="shared" si="4"/>
        <v>12.8</v>
      </c>
    </row>
    <row r="34" spans="1:21" x14ac:dyDescent="0.25">
      <c r="A34">
        <v>635</v>
      </c>
      <c r="B34">
        <v>12800000</v>
      </c>
      <c r="C34" s="1">
        <v>12416000</v>
      </c>
      <c r="D34" s="1">
        <v>8177717.2679209998</v>
      </c>
      <c r="E34" s="3">
        <v>12416000</v>
      </c>
      <c r="F34" s="3">
        <v>12416000</v>
      </c>
      <c r="G34" s="3">
        <v>12416000</v>
      </c>
      <c r="H34" s="3">
        <v>10090191.571937</v>
      </c>
      <c r="I34" s="1">
        <v>267.62649499999998</v>
      </c>
      <c r="J34" s="1">
        <v>167.26656</v>
      </c>
      <c r="K34" s="1">
        <v>133.81324799999999</v>
      </c>
      <c r="L34" s="1">
        <v>66.293696999999995</v>
      </c>
      <c r="M34" s="2">
        <v>0.66055900000000001</v>
      </c>
      <c r="N34">
        <v>18191065.379461002</v>
      </c>
      <c r="O34">
        <v>1</v>
      </c>
      <c r="P34" s="1"/>
      <c r="Q34" s="1">
        <f t="shared" si="5"/>
        <v>434.893055</v>
      </c>
      <c r="R34" s="1">
        <f t="shared" si="6"/>
        <v>568.70630299999993</v>
      </c>
      <c r="S34" s="1">
        <f t="shared" si="7"/>
        <v>634.99999999999989</v>
      </c>
      <c r="U34">
        <f t="shared" si="4"/>
        <v>12.8</v>
      </c>
    </row>
    <row r="35" spans="1:21" x14ac:dyDescent="0.25">
      <c r="A35">
        <v>645</v>
      </c>
      <c r="B35">
        <v>12800000</v>
      </c>
      <c r="C35" s="1">
        <v>12416000</v>
      </c>
      <c r="D35" s="1">
        <v>8310460.169613</v>
      </c>
      <c r="E35" s="3">
        <v>12416000</v>
      </c>
      <c r="F35" s="3">
        <v>12416000</v>
      </c>
      <c r="G35" s="3">
        <v>12416000</v>
      </c>
      <c r="H35" s="3">
        <v>11118573.090748999</v>
      </c>
      <c r="I35" s="1">
        <v>265.87541700000003</v>
      </c>
      <c r="J35" s="1">
        <v>166.172135</v>
      </c>
      <c r="K35" s="1">
        <v>132.93770799999999</v>
      </c>
      <c r="L35" s="1">
        <v>80.014739000000006</v>
      </c>
      <c r="M35" s="2">
        <v>0.80252900000000005</v>
      </c>
      <c r="N35">
        <v>18190995.585483</v>
      </c>
      <c r="O35">
        <v>1</v>
      </c>
      <c r="P35" s="1"/>
      <c r="Q35" s="1">
        <f t="shared" si="5"/>
        <v>432.047552</v>
      </c>
      <c r="R35" s="1">
        <f t="shared" si="6"/>
        <v>564.98525999999993</v>
      </c>
      <c r="S35" s="1">
        <f t="shared" si="7"/>
        <v>644.99999899999989</v>
      </c>
      <c r="U35">
        <f t="shared" si="4"/>
        <v>12.8</v>
      </c>
    </row>
    <row r="36" spans="1:21" x14ac:dyDescent="0.25">
      <c r="A36">
        <v>655</v>
      </c>
      <c r="B36" s="1">
        <v>12800000</v>
      </c>
      <c r="C36" s="1">
        <v>12416000</v>
      </c>
      <c r="D36" s="1">
        <v>8446592.6222430002</v>
      </c>
      <c r="E36" s="3">
        <v>12416000</v>
      </c>
      <c r="F36" s="3">
        <v>12416000</v>
      </c>
      <c r="G36" s="3">
        <v>12416000</v>
      </c>
      <c r="H36" s="3">
        <v>12387453.67977</v>
      </c>
      <c r="I36" s="1">
        <v>263.90103900000003</v>
      </c>
      <c r="J36" s="1">
        <v>164.93815000000001</v>
      </c>
      <c r="K36" s="1">
        <v>131.95052000000001</v>
      </c>
      <c r="L36" s="1">
        <v>94.210291999999995</v>
      </c>
      <c r="M36" s="2">
        <v>0.95197600000000004</v>
      </c>
      <c r="N36" s="1">
        <v>18347993.888705</v>
      </c>
      <c r="O36" s="1">
        <v>1</v>
      </c>
      <c r="P36" s="1"/>
      <c r="Q36" s="1">
        <f t="shared" si="5"/>
        <v>428.83918900000003</v>
      </c>
      <c r="R36" s="1">
        <f t="shared" si="6"/>
        <v>560.78970900000002</v>
      </c>
      <c r="S36" s="1">
        <f t="shared" si="7"/>
        <v>655.000001</v>
      </c>
      <c r="U36">
        <f t="shared" si="4"/>
        <v>12.8</v>
      </c>
    </row>
    <row r="37" spans="1:21" x14ac:dyDescent="0.25">
      <c r="P37" s="1"/>
      <c r="Q37" s="1"/>
      <c r="R37" s="1"/>
    </row>
    <row r="38" spans="1:21" x14ac:dyDescent="0.25">
      <c r="P38" s="1"/>
      <c r="Q38" s="1"/>
      <c r="R38" s="1"/>
    </row>
    <row r="39" spans="1:21" x14ac:dyDescent="0.25">
      <c r="A39" t="s">
        <v>30</v>
      </c>
      <c r="P39" s="1"/>
      <c r="Q39" s="1"/>
      <c r="R39" s="1"/>
    </row>
    <row r="40" spans="1:21" x14ac:dyDescent="0.25">
      <c r="A40">
        <v>315</v>
      </c>
      <c r="B40" s="2">
        <f>B2/10^6</f>
        <v>12.8</v>
      </c>
      <c r="C40" s="2">
        <f t="shared" ref="C40:N40" si="8">C2/10^6</f>
        <v>12.416</v>
      </c>
      <c r="D40" s="2">
        <f t="shared" si="8"/>
        <v>3.8853751934409999</v>
      </c>
      <c r="E40" s="2">
        <f t="shared" si="8"/>
        <v>12.416</v>
      </c>
      <c r="F40" s="2">
        <f t="shared" si="8"/>
        <v>4.3441271078449999</v>
      </c>
      <c r="G40" s="2">
        <f t="shared" si="8"/>
        <v>3.8853751934409999</v>
      </c>
      <c r="H40" s="2">
        <f t="shared" si="8"/>
        <v>3.8853751934409999</v>
      </c>
      <c r="I40" s="2"/>
      <c r="J40" s="2"/>
      <c r="K40" s="2"/>
      <c r="L40" s="2"/>
      <c r="M40" s="2"/>
      <c r="N40" s="2"/>
      <c r="P40" s="1"/>
      <c r="Q40" s="1"/>
      <c r="R40" s="1"/>
    </row>
    <row r="41" spans="1:21" x14ac:dyDescent="0.25">
      <c r="A41">
        <v>325</v>
      </c>
      <c r="B41" s="2">
        <f t="shared" ref="B41:H41" si="9">B3/10^6</f>
        <v>12.8</v>
      </c>
      <c r="C41" s="2">
        <f t="shared" si="9"/>
        <v>12.416</v>
      </c>
      <c r="D41" s="2">
        <f t="shared" si="9"/>
        <v>4.022179747489</v>
      </c>
      <c r="E41" s="2">
        <f t="shared" si="9"/>
        <v>12.416</v>
      </c>
      <c r="F41" s="2">
        <f t="shared" si="9"/>
        <v>4.7278255695449998</v>
      </c>
      <c r="G41" s="2">
        <f t="shared" si="9"/>
        <v>4.022179747489</v>
      </c>
      <c r="H41" s="2">
        <f t="shared" si="9"/>
        <v>4.022179747489</v>
      </c>
      <c r="I41" s="2"/>
      <c r="J41" s="2"/>
      <c r="K41" s="2"/>
      <c r="L41" s="2"/>
      <c r="M41" s="2"/>
      <c r="N41" s="2"/>
      <c r="P41" s="1"/>
      <c r="Q41" s="1"/>
      <c r="R41" s="1"/>
    </row>
    <row r="42" spans="1:21" x14ac:dyDescent="0.25">
      <c r="A42">
        <v>335</v>
      </c>
      <c r="B42" s="2">
        <f t="shared" ref="B42:H42" si="10">B4/10^6</f>
        <v>12.8</v>
      </c>
      <c r="C42" s="2">
        <f t="shared" si="10"/>
        <v>12.416</v>
      </c>
      <c r="D42" s="2">
        <f t="shared" si="10"/>
        <v>4.1563370592720004</v>
      </c>
      <c r="E42" s="2">
        <f t="shared" si="10"/>
        <v>12.416</v>
      </c>
      <c r="F42" s="2">
        <f t="shared" si="10"/>
        <v>5.1548703834149991</v>
      </c>
      <c r="G42" s="2">
        <f t="shared" si="10"/>
        <v>4.1563370592720004</v>
      </c>
      <c r="H42" s="2">
        <f t="shared" si="10"/>
        <v>4.1563370592720004</v>
      </c>
      <c r="I42" s="2"/>
      <c r="J42" s="2"/>
      <c r="K42" s="2"/>
      <c r="L42" s="2"/>
      <c r="M42" s="2"/>
      <c r="N42" s="2"/>
      <c r="P42" s="1"/>
      <c r="Q42" s="1"/>
      <c r="R42" s="1"/>
    </row>
    <row r="43" spans="1:21" x14ac:dyDescent="0.25">
      <c r="A43">
        <v>345</v>
      </c>
      <c r="B43" s="2">
        <f t="shared" ref="B43:H43" si="11">B5/10^6</f>
        <v>12.8</v>
      </c>
      <c r="C43" s="2">
        <f t="shared" si="11"/>
        <v>12.416</v>
      </c>
      <c r="D43" s="2">
        <f t="shared" si="11"/>
        <v>4.2883320437599997</v>
      </c>
      <c r="E43" s="2">
        <f t="shared" si="11"/>
        <v>12.416</v>
      </c>
      <c r="F43" s="2">
        <f t="shared" si="11"/>
        <v>5.6235948342970001</v>
      </c>
      <c r="G43" s="2">
        <f t="shared" si="11"/>
        <v>4.2883320437599997</v>
      </c>
      <c r="H43" s="2">
        <f t="shared" si="11"/>
        <v>4.2883320437599997</v>
      </c>
      <c r="I43" s="2"/>
      <c r="J43" s="2"/>
      <c r="K43" s="2"/>
      <c r="L43" s="2"/>
      <c r="M43" s="2"/>
      <c r="N43" s="2"/>
      <c r="P43" s="1"/>
      <c r="Q43" s="1"/>
      <c r="R43" s="1"/>
    </row>
    <row r="44" spans="1:21" x14ac:dyDescent="0.25">
      <c r="A44">
        <v>355</v>
      </c>
      <c r="B44" s="2">
        <f t="shared" ref="B44:H44" si="12">B6/10^6</f>
        <v>12.8</v>
      </c>
      <c r="C44" s="2">
        <f t="shared" si="12"/>
        <v>12.416</v>
      </c>
      <c r="D44" s="2">
        <f t="shared" si="12"/>
        <v>4.418635656368</v>
      </c>
      <c r="E44" s="2">
        <f t="shared" si="12"/>
        <v>12.416</v>
      </c>
      <c r="F44" s="2">
        <f t="shared" si="12"/>
        <v>6.1327480636919995</v>
      </c>
      <c r="G44" s="2">
        <f t="shared" si="12"/>
        <v>4.418635656368</v>
      </c>
      <c r="H44" s="2">
        <f t="shared" si="12"/>
        <v>4.418635656368</v>
      </c>
      <c r="I44" s="2"/>
      <c r="J44" s="2"/>
      <c r="K44" s="2"/>
      <c r="L44" s="2"/>
      <c r="M44" s="2"/>
      <c r="N44" s="2"/>
      <c r="P44" s="1"/>
      <c r="Q44" s="1"/>
      <c r="R44" s="1"/>
    </row>
    <row r="45" spans="1:21" x14ac:dyDescent="0.25">
      <c r="A45">
        <v>365</v>
      </c>
      <c r="B45" s="2">
        <f t="shared" ref="B45:H45" si="13">B7/10^6</f>
        <v>12.8</v>
      </c>
      <c r="C45" s="2">
        <f t="shared" si="13"/>
        <v>12.416</v>
      </c>
      <c r="D45" s="2">
        <f t="shared" si="13"/>
        <v>4.5474312717779997</v>
      </c>
      <c r="E45" s="2">
        <f t="shared" si="13"/>
        <v>12.416</v>
      </c>
      <c r="F45" s="2">
        <f t="shared" si="13"/>
        <v>6.6812415899740003</v>
      </c>
      <c r="G45" s="2">
        <f t="shared" si="13"/>
        <v>4.5474312717779997</v>
      </c>
      <c r="H45" s="2">
        <f t="shared" si="13"/>
        <v>4.5474312717779997</v>
      </c>
      <c r="I45" s="2"/>
      <c r="J45" s="2"/>
      <c r="K45" s="2"/>
      <c r="L45" s="2"/>
      <c r="M45" s="2"/>
      <c r="N45" s="2"/>
      <c r="P45" s="1"/>
      <c r="Q45" s="1"/>
      <c r="R45" s="1"/>
    </row>
    <row r="46" spans="1:21" x14ac:dyDescent="0.25">
      <c r="A46">
        <v>375</v>
      </c>
      <c r="B46" s="2">
        <f t="shared" ref="B46:H46" si="14">B8/10^6</f>
        <v>12.8</v>
      </c>
      <c r="C46" s="2">
        <f t="shared" si="14"/>
        <v>12.416</v>
      </c>
      <c r="D46" s="2">
        <f t="shared" si="14"/>
        <v>4.6751068165809997</v>
      </c>
      <c r="E46" s="2">
        <f t="shared" si="14"/>
        <v>12.416</v>
      </c>
      <c r="F46" s="2">
        <f t="shared" si="14"/>
        <v>7.2683864249500001</v>
      </c>
      <c r="G46" s="2">
        <f t="shared" si="14"/>
        <v>4.6751068165809997</v>
      </c>
      <c r="H46" s="2">
        <f t="shared" si="14"/>
        <v>4.6751068165809997</v>
      </c>
      <c r="I46" s="2"/>
      <c r="J46" s="2"/>
      <c r="K46" s="2"/>
      <c r="L46" s="2"/>
      <c r="M46" s="2"/>
      <c r="N46" s="2"/>
      <c r="P46" s="1"/>
      <c r="Q46" s="1"/>
      <c r="R46" s="1"/>
    </row>
    <row r="47" spans="1:21" x14ac:dyDescent="0.25">
      <c r="A47">
        <v>385</v>
      </c>
      <c r="B47" s="2">
        <f t="shared" ref="B47:H47" si="15">B9/10^6</f>
        <v>12.8</v>
      </c>
      <c r="C47" s="2">
        <f t="shared" si="15"/>
        <v>12.416</v>
      </c>
      <c r="D47" s="2">
        <f t="shared" si="15"/>
        <v>4.801768195418</v>
      </c>
      <c r="E47" s="2">
        <f t="shared" si="15"/>
        <v>12.416</v>
      </c>
      <c r="F47" s="2">
        <f t="shared" si="15"/>
        <v>7.8935919833139998</v>
      </c>
      <c r="G47" s="2">
        <f t="shared" si="15"/>
        <v>4.801768195418</v>
      </c>
      <c r="H47" s="2">
        <f t="shared" si="15"/>
        <v>4.801768195418</v>
      </c>
      <c r="I47" s="2"/>
      <c r="J47" s="2"/>
      <c r="K47" s="2"/>
      <c r="L47" s="2"/>
      <c r="M47" s="2"/>
      <c r="N47" s="2"/>
      <c r="P47" s="1"/>
      <c r="Q47" s="1"/>
      <c r="R47" s="1"/>
    </row>
    <row r="48" spans="1:21" x14ac:dyDescent="0.25">
      <c r="A48">
        <v>395</v>
      </c>
      <c r="B48" s="2">
        <f t="shared" ref="B48:H48" si="16">B10/10^6</f>
        <v>12.8</v>
      </c>
      <c r="C48" s="2">
        <f t="shared" si="16"/>
        <v>12.416</v>
      </c>
      <c r="D48" s="2">
        <f t="shared" si="16"/>
        <v>4.9276103767879995</v>
      </c>
      <c r="E48" s="2">
        <f t="shared" si="16"/>
        <v>12.416</v>
      </c>
      <c r="F48" s="2">
        <f t="shared" si="16"/>
        <v>8.5565294397260008</v>
      </c>
      <c r="G48" s="2">
        <f t="shared" si="16"/>
        <v>4.9276103767879995</v>
      </c>
      <c r="H48" s="2">
        <f t="shared" si="16"/>
        <v>4.9276103767879995</v>
      </c>
      <c r="I48" s="2"/>
      <c r="J48" s="2"/>
      <c r="K48" s="2"/>
      <c r="L48" s="2"/>
      <c r="M48" s="2"/>
      <c r="N48" s="2"/>
      <c r="P48" s="1"/>
      <c r="Q48" s="1"/>
      <c r="R48" s="1"/>
    </row>
    <row r="49" spans="1:18" x14ac:dyDescent="0.25">
      <c r="A49">
        <v>405</v>
      </c>
      <c r="B49" s="2">
        <f t="shared" ref="B49:H49" si="17">B11/10^6</f>
        <v>12.8</v>
      </c>
      <c r="C49" s="2">
        <f t="shared" si="17"/>
        <v>12.416</v>
      </c>
      <c r="D49" s="2">
        <f t="shared" si="17"/>
        <v>5.0528697268430003</v>
      </c>
      <c r="E49" s="2">
        <f t="shared" si="17"/>
        <v>12.416</v>
      </c>
      <c r="F49" s="2">
        <f t="shared" si="17"/>
        <v>9.2570441078249992</v>
      </c>
      <c r="G49" s="2">
        <f t="shared" si="17"/>
        <v>5.0528697268430003</v>
      </c>
      <c r="H49" s="2">
        <f t="shared" si="17"/>
        <v>5.0528697268430003</v>
      </c>
      <c r="I49" s="2"/>
      <c r="J49" s="2"/>
      <c r="K49" s="2"/>
      <c r="L49" s="2"/>
      <c r="M49" s="2"/>
      <c r="N49" s="2"/>
      <c r="P49" s="1"/>
      <c r="Q49" s="1"/>
      <c r="R49" s="1"/>
    </row>
    <row r="50" spans="1:18" x14ac:dyDescent="0.25">
      <c r="A50">
        <v>415</v>
      </c>
      <c r="B50" s="2">
        <f t="shared" ref="B50:H50" si="18">B12/10^6</f>
        <v>12.8</v>
      </c>
      <c r="C50" s="2">
        <f t="shared" si="18"/>
        <v>12.416</v>
      </c>
      <c r="D50" s="2">
        <f t="shared" si="18"/>
        <v>5.1775519812219999</v>
      </c>
      <c r="E50" s="2">
        <f t="shared" si="18"/>
        <v>12.416</v>
      </c>
      <c r="F50" s="2">
        <f t="shared" si="18"/>
        <v>9.9761217401169997</v>
      </c>
      <c r="G50" s="2">
        <f t="shared" si="18"/>
        <v>5.1775519812219999</v>
      </c>
      <c r="H50" s="2">
        <f t="shared" si="18"/>
        <v>5.1775519812219999</v>
      </c>
      <c r="I50" s="2"/>
      <c r="J50" s="2"/>
      <c r="K50" s="2"/>
      <c r="L50" s="2"/>
      <c r="M50" s="2"/>
      <c r="N50" s="2"/>
      <c r="P50" s="1"/>
      <c r="Q50" s="1"/>
      <c r="R50" s="1"/>
    </row>
    <row r="51" spans="1:18" x14ac:dyDescent="0.25">
      <c r="A51">
        <v>425</v>
      </c>
      <c r="B51" s="2">
        <f t="shared" ref="B51:H51" si="19">B13/10^6</f>
        <v>12.8</v>
      </c>
      <c r="C51" s="2">
        <f t="shared" si="19"/>
        <v>12.416</v>
      </c>
      <c r="D51" s="2">
        <f t="shared" si="19"/>
        <v>5.3022511724210002</v>
      </c>
      <c r="E51" s="2">
        <f t="shared" si="19"/>
        <v>12.416</v>
      </c>
      <c r="F51" s="2">
        <f t="shared" si="19"/>
        <v>10.695199372408998</v>
      </c>
      <c r="G51" s="2">
        <f t="shared" si="19"/>
        <v>5.3022511724210002</v>
      </c>
      <c r="H51" s="2">
        <f t="shared" si="19"/>
        <v>5.3022511724210002</v>
      </c>
      <c r="I51" s="2"/>
      <c r="J51" s="2"/>
      <c r="K51" s="2"/>
      <c r="L51" s="2"/>
      <c r="M51" s="2"/>
      <c r="N51" s="2"/>
      <c r="P51" s="1"/>
      <c r="Q51" s="1"/>
      <c r="R51" s="1"/>
    </row>
    <row r="52" spans="1:18" x14ac:dyDescent="0.25">
      <c r="A52">
        <v>435</v>
      </c>
      <c r="B52" s="2">
        <f t="shared" ref="B52:H52" si="20">B14/10^6</f>
        <v>12.8</v>
      </c>
      <c r="C52" s="2">
        <f t="shared" si="20"/>
        <v>12.416</v>
      </c>
      <c r="D52" s="2">
        <f t="shared" si="20"/>
        <v>5.4270339080629997</v>
      </c>
      <c r="E52" s="2">
        <f t="shared" si="20"/>
        <v>12.416</v>
      </c>
      <c r="F52" s="2">
        <f t="shared" si="20"/>
        <v>11.414277004700999</v>
      </c>
      <c r="G52" s="2">
        <f t="shared" si="20"/>
        <v>5.4270339080629997</v>
      </c>
      <c r="H52" s="2">
        <f t="shared" si="20"/>
        <v>5.4270339080629997</v>
      </c>
      <c r="I52" s="2"/>
      <c r="J52" s="2"/>
      <c r="K52" s="2"/>
      <c r="L52" s="2"/>
      <c r="M52" s="2"/>
      <c r="N52" s="2"/>
      <c r="P52" s="1"/>
      <c r="Q52" s="1"/>
      <c r="R52" s="1"/>
    </row>
    <row r="53" spans="1:18" x14ac:dyDescent="0.25">
      <c r="A53">
        <v>445</v>
      </c>
      <c r="B53" s="2">
        <f t="shared" ref="B53:H53" si="21">B15/10^6</f>
        <v>12.8</v>
      </c>
      <c r="C53" s="2">
        <f t="shared" si="21"/>
        <v>12.416</v>
      </c>
      <c r="D53" s="2">
        <f t="shared" si="21"/>
        <v>5.5519232523079998</v>
      </c>
      <c r="E53" s="2">
        <f t="shared" si="21"/>
        <v>12.416</v>
      </c>
      <c r="F53" s="2">
        <f t="shared" si="21"/>
        <v>12.133354636992999</v>
      </c>
      <c r="G53" s="2">
        <f t="shared" si="21"/>
        <v>5.5519232523079998</v>
      </c>
      <c r="H53" s="2">
        <f t="shared" si="21"/>
        <v>5.5519232523079998</v>
      </c>
      <c r="I53" s="2"/>
      <c r="J53" s="2"/>
      <c r="K53" s="2"/>
      <c r="L53" s="2"/>
      <c r="M53" s="2"/>
      <c r="N53" s="2"/>
      <c r="P53" s="1"/>
      <c r="Q53" s="1"/>
      <c r="R53" s="1"/>
    </row>
    <row r="54" spans="1:18" x14ac:dyDescent="0.25">
      <c r="A54">
        <v>455</v>
      </c>
      <c r="B54" s="2">
        <f t="shared" ref="B54:H54" si="22">B16/10^6</f>
        <v>12.8</v>
      </c>
      <c r="C54" s="2">
        <f t="shared" si="22"/>
        <v>12.416</v>
      </c>
      <c r="D54" s="2">
        <f t="shared" si="22"/>
        <v>5.6924591485959999</v>
      </c>
      <c r="E54" s="2">
        <f t="shared" si="22"/>
        <v>12.416</v>
      </c>
      <c r="F54" s="2">
        <f t="shared" si="22"/>
        <v>12.416</v>
      </c>
      <c r="G54" s="2">
        <f t="shared" si="22"/>
        <v>5.7043297149469998</v>
      </c>
      <c r="H54" s="2">
        <f t="shared" si="22"/>
        <v>5.6924591485959999</v>
      </c>
      <c r="I54" s="2"/>
      <c r="J54" s="2"/>
      <c r="K54" s="2"/>
      <c r="L54" s="2"/>
      <c r="M54" s="2"/>
      <c r="N54" s="2"/>
      <c r="P54" s="1"/>
      <c r="Q54" s="1"/>
      <c r="R54" s="1"/>
    </row>
    <row r="55" spans="1:18" x14ac:dyDescent="0.25">
      <c r="A55">
        <v>465</v>
      </c>
      <c r="B55" s="2">
        <f t="shared" ref="B55:H55" si="23">B17/10^6</f>
        <v>12.8</v>
      </c>
      <c r="C55" s="2">
        <f t="shared" si="23"/>
        <v>12.416</v>
      </c>
      <c r="D55" s="2">
        <f t="shared" si="23"/>
        <v>5.840234165979</v>
      </c>
      <c r="E55" s="2">
        <f t="shared" si="23"/>
        <v>12.416</v>
      </c>
      <c r="F55" s="2">
        <f t="shared" si="23"/>
        <v>12.416</v>
      </c>
      <c r="G55" s="2">
        <f t="shared" si="23"/>
        <v>5.9214377555090003</v>
      </c>
      <c r="H55" s="2">
        <f t="shared" si="23"/>
        <v>5.840234165979</v>
      </c>
      <c r="I55" s="2"/>
      <c r="J55" s="2"/>
      <c r="K55" s="2"/>
      <c r="L55" s="2"/>
      <c r="M55" s="2"/>
      <c r="N55" s="2"/>
      <c r="P55" s="1"/>
      <c r="Q55" s="1"/>
      <c r="R55" s="1"/>
    </row>
    <row r="56" spans="1:18" x14ac:dyDescent="0.25">
      <c r="A56">
        <v>475</v>
      </c>
      <c r="B56" s="2">
        <f t="shared" ref="B56:H56" si="24">B18/10^6</f>
        <v>12.8</v>
      </c>
      <c r="C56" s="2">
        <f t="shared" si="24"/>
        <v>12.416</v>
      </c>
      <c r="D56" s="2">
        <f t="shared" si="24"/>
        <v>5.9850390081439997</v>
      </c>
      <c r="E56" s="2">
        <f t="shared" si="24"/>
        <v>12.416</v>
      </c>
      <c r="F56" s="2">
        <f t="shared" si="24"/>
        <v>12.416</v>
      </c>
      <c r="G56" s="2">
        <f t="shared" si="24"/>
        <v>6.1940309925520003</v>
      </c>
      <c r="H56" s="2">
        <f t="shared" si="24"/>
        <v>5.9850390081439997</v>
      </c>
      <c r="I56" s="2"/>
      <c r="J56" s="2"/>
      <c r="K56" s="2"/>
      <c r="L56" s="2"/>
      <c r="M56" s="2"/>
      <c r="N56" s="2"/>
      <c r="P56" s="1"/>
      <c r="Q56" s="1"/>
      <c r="R56" s="1"/>
    </row>
    <row r="57" spans="1:18" x14ac:dyDescent="0.25">
      <c r="A57">
        <v>485</v>
      </c>
      <c r="B57" s="2">
        <f t="shared" ref="B57:H57" si="25">B19/10^6</f>
        <v>12.8</v>
      </c>
      <c r="C57" s="2">
        <f t="shared" si="25"/>
        <v>12.416</v>
      </c>
      <c r="D57" s="2">
        <f t="shared" si="25"/>
        <v>6.1271486046139998</v>
      </c>
      <c r="E57" s="2">
        <f t="shared" si="25"/>
        <v>12.416</v>
      </c>
      <c r="F57" s="2">
        <f t="shared" si="25"/>
        <v>12.416</v>
      </c>
      <c r="G57" s="2">
        <f t="shared" si="25"/>
        <v>6.5191064650180008</v>
      </c>
      <c r="H57" s="2">
        <f t="shared" si="25"/>
        <v>6.1271486046139998</v>
      </c>
      <c r="I57" s="2"/>
      <c r="J57" s="2"/>
      <c r="K57" s="2"/>
      <c r="L57" s="2"/>
      <c r="M57" s="2"/>
      <c r="N57" s="2"/>
      <c r="P57" s="1"/>
      <c r="Q57" s="1"/>
      <c r="R57" s="1"/>
    </row>
    <row r="58" spans="1:18" x14ac:dyDescent="0.25">
      <c r="A58">
        <v>495</v>
      </c>
      <c r="B58" s="2">
        <f t="shared" ref="B58:H58" si="26">B20/10^6</f>
        <v>12.8</v>
      </c>
      <c r="C58" s="2">
        <f t="shared" si="26"/>
        <v>12.416</v>
      </c>
      <c r="D58" s="2">
        <f t="shared" si="26"/>
        <v>6.266935644258</v>
      </c>
      <c r="E58" s="2">
        <f t="shared" si="26"/>
        <v>12.416</v>
      </c>
      <c r="F58" s="2">
        <f t="shared" si="26"/>
        <v>12.416</v>
      </c>
      <c r="G58" s="2">
        <f t="shared" si="26"/>
        <v>6.8944077042440002</v>
      </c>
      <c r="H58" s="2">
        <f t="shared" si="26"/>
        <v>6.266935644258</v>
      </c>
      <c r="I58" s="2"/>
      <c r="J58" s="2"/>
      <c r="K58" s="2"/>
      <c r="L58" s="2"/>
      <c r="M58" s="2"/>
      <c r="N58" s="2"/>
      <c r="P58" s="1"/>
      <c r="Q58" s="1"/>
      <c r="R58" s="1"/>
    </row>
    <row r="59" spans="1:18" x14ac:dyDescent="0.25">
      <c r="A59">
        <v>505</v>
      </c>
      <c r="B59" s="2">
        <f t="shared" ref="B59:H59" si="27">B21/10^6</f>
        <v>12.8</v>
      </c>
      <c r="C59" s="2">
        <f t="shared" si="27"/>
        <v>12.416</v>
      </c>
      <c r="D59" s="2">
        <f t="shared" si="27"/>
        <v>6.4048132555950001</v>
      </c>
      <c r="E59" s="2">
        <f t="shared" si="27"/>
        <v>12.416</v>
      </c>
      <c r="F59" s="2">
        <f t="shared" si="27"/>
        <v>12.416</v>
      </c>
      <c r="G59" s="2">
        <f t="shared" si="27"/>
        <v>7.3182173931339998</v>
      </c>
      <c r="H59" s="2">
        <f t="shared" si="27"/>
        <v>6.4048132555950001</v>
      </c>
      <c r="I59" s="2"/>
      <c r="J59" s="2"/>
      <c r="K59" s="2"/>
      <c r="L59" s="2"/>
      <c r="M59" s="2"/>
      <c r="N59" s="2"/>
      <c r="P59" s="1"/>
      <c r="Q59" s="1"/>
      <c r="R59" s="1"/>
    </row>
    <row r="60" spans="1:18" x14ac:dyDescent="0.25">
      <c r="A60">
        <v>515</v>
      </c>
      <c r="B60" s="2">
        <f t="shared" ref="B60:H60" si="28">B22/10^6</f>
        <v>12.8</v>
      </c>
      <c r="C60" s="2">
        <f t="shared" si="28"/>
        <v>12.416</v>
      </c>
      <c r="D60" s="2">
        <f t="shared" si="28"/>
        <v>6.5409366280070005</v>
      </c>
      <c r="E60" s="2">
        <f t="shared" si="28"/>
        <v>12.416</v>
      </c>
      <c r="F60" s="2">
        <f t="shared" si="28"/>
        <v>12.416</v>
      </c>
      <c r="G60" s="2">
        <f t="shared" si="28"/>
        <v>7.7889975246230003</v>
      </c>
      <c r="H60" s="2">
        <f t="shared" si="28"/>
        <v>6.5409366280070005</v>
      </c>
      <c r="I60" s="2"/>
      <c r="J60" s="2"/>
      <c r="K60" s="2"/>
      <c r="L60" s="2"/>
      <c r="M60" s="2"/>
      <c r="N60" s="2"/>
      <c r="P60" s="1"/>
      <c r="Q60" s="1"/>
      <c r="R60" s="1"/>
    </row>
    <row r="61" spans="1:18" x14ac:dyDescent="0.25">
      <c r="A61">
        <v>525</v>
      </c>
      <c r="B61" s="2">
        <f t="shared" ref="B61:H61" si="29">B23/10^6</f>
        <v>12.8</v>
      </c>
      <c r="C61" s="2">
        <f t="shared" si="29"/>
        <v>12.416</v>
      </c>
      <c r="D61" s="2">
        <f t="shared" si="29"/>
        <v>6.6757291629870004</v>
      </c>
      <c r="E61" s="2">
        <f t="shared" si="29"/>
        <v>12.416</v>
      </c>
      <c r="F61" s="2">
        <f t="shared" si="29"/>
        <v>12.416</v>
      </c>
      <c r="G61" s="2">
        <f t="shared" si="29"/>
        <v>8.3057666224499993</v>
      </c>
      <c r="H61" s="2">
        <f t="shared" si="29"/>
        <v>6.6757291629870004</v>
      </c>
      <c r="I61" s="2"/>
      <c r="J61" s="2"/>
      <c r="K61" s="2"/>
      <c r="L61" s="2"/>
      <c r="M61" s="2"/>
      <c r="N61" s="2"/>
      <c r="P61" s="1"/>
      <c r="Q61" s="1"/>
      <c r="R61" s="1"/>
    </row>
    <row r="62" spans="1:18" x14ac:dyDescent="0.25">
      <c r="A62">
        <v>535</v>
      </c>
      <c r="B62" s="2">
        <f t="shared" ref="B62:H62" si="30">B24/10^6</f>
        <v>12.8</v>
      </c>
      <c r="C62" s="2">
        <f t="shared" si="30"/>
        <v>12.416</v>
      </c>
      <c r="D62" s="2">
        <f t="shared" si="30"/>
        <v>6.8092647691500003</v>
      </c>
      <c r="E62" s="2">
        <f t="shared" si="30"/>
        <v>12.416</v>
      </c>
      <c r="F62" s="2">
        <f t="shared" si="30"/>
        <v>12.416</v>
      </c>
      <c r="G62" s="2">
        <f t="shared" si="30"/>
        <v>8.8679163238090002</v>
      </c>
      <c r="H62" s="2">
        <f t="shared" si="30"/>
        <v>6.8092647691500003</v>
      </c>
      <c r="I62" s="2"/>
      <c r="J62" s="2"/>
      <c r="K62" s="2"/>
      <c r="L62" s="2"/>
      <c r="M62" s="2"/>
      <c r="N62" s="2"/>
      <c r="P62" s="1"/>
      <c r="Q62" s="1"/>
      <c r="R62" s="1"/>
    </row>
    <row r="63" spans="1:18" x14ac:dyDescent="0.25">
      <c r="A63">
        <v>545</v>
      </c>
      <c r="B63" s="2">
        <f t="shared" ref="B63:H63" si="31">B25/10^6</f>
        <v>12.8</v>
      </c>
      <c r="C63" s="2">
        <f t="shared" si="31"/>
        <v>12.416</v>
      </c>
      <c r="D63" s="2">
        <f t="shared" si="31"/>
        <v>6.9415631105350002</v>
      </c>
      <c r="E63" s="2">
        <f t="shared" si="31"/>
        <v>12.416</v>
      </c>
      <c r="F63" s="2">
        <f t="shared" si="31"/>
        <v>12.416</v>
      </c>
      <c r="G63" s="2">
        <f t="shared" si="31"/>
        <v>9.485995352510999</v>
      </c>
      <c r="H63" s="2">
        <f t="shared" si="31"/>
        <v>6.9415631105350002</v>
      </c>
      <c r="I63" s="2"/>
      <c r="J63" s="2"/>
      <c r="K63" s="2"/>
      <c r="L63" s="2"/>
      <c r="M63" s="2"/>
      <c r="N63" s="2"/>
      <c r="P63" s="1"/>
      <c r="Q63" s="1"/>
      <c r="R63" s="1"/>
    </row>
    <row r="64" spans="1:18" x14ac:dyDescent="0.25">
      <c r="A64">
        <v>555</v>
      </c>
      <c r="B64" s="2">
        <f t="shared" ref="B64:H64" si="32">B26/10^6</f>
        <v>12.8</v>
      </c>
      <c r="C64" s="2">
        <f t="shared" si="32"/>
        <v>12.416</v>
      </c>
      <c r="D64" s="2">
        <f t="shared" si="32"/>
        <v>7.0727962340100001</v>
      </c>
      <c r="E64" s="2">
        <f t="shared" si="32"/>
        <v>12.416</v>
      </c>
      <c r="F64" s="2">
        <f t="shared" si="32"/>
        <v>12.416</v>
      </c>
      <c r="G64" s="2">
        <f t="shared" si="32"/>
        <v>10.169133553296</v>
      </c>
      <c r="H64" s="2">
        <f t="shared" si="32"/>
        <v>7.0727962340100001</v>
      </c>
      <c r="I64" s="2"/>
      <c r="J64" s="2"/>
      <c r="K64" s="2"/>
      <c r="L64" s="2"/>
      <c r="M64" s="2"/>
      <c r="N64" s="2"/>
      <c r="P64" s="1"/>
      <c r="Q64" s="1"/>
      <c r="R64" s="1"/>
    </row>
    <row r="65" spans="1:18" x14ac:dyDescent="0.25">
      <c r="A65">
        <v>565</v>
      </c>
      <c r="B65" s="2">
        <f t="shared" ref="B65:H65" si="33">B27/10^6</f>
        <v>12.8</v>
      </c>
      <c r="C65" s="2">
        <f t="shared" si="33"/>
        <v>12.416</v>
      </c>
      <c r="D65" s="2">
        <f t="shared" si="33"/>
        <v>7.2029020374509996</v>
      </c>
      <c r="E65" s="2">
        <f t="shared" si="33"/>
        <v>12.416</v>
      </c>
      <c r="F65" s="2">
        <f t="shared" si="33"/>
        <v>12.416</v>
      </c>
      <c r="G65" s="2">
        <f t="shared" si="33"/>
        <v>10.923271976140001</v>
      </c>
      <c r="H65" s="2">
        <f t="shared" si="33"/>
        <v>7.2029020374509996</v>
      </c>
      <c r="I65" s="2"/>
      <c r="J65" s="2"/>
      <c r="K65" s="2"/>
      <c r="L65" s="2"/>
      <c r="M65" s="2"/>
      <c r="N65" s="2"/>
      <c r="P65" s="1"/>
      <c r="Q65" s="1"/>
      <c r="R65" s="1"/>
    </row>
    <row r="66" spans="1:18" x14ac:dyDescent="0.25">
      <c r="A66">
        <v>575</v>
      </c>
      <c r="B66" s="2">
        <f t="shared" ref="B66:H66" si="34">B28/10^6</f>
        <v>12.8</v>
      </c>
      <c r="C66" s="2">
        <f t="shared" si="34"/>
        <v>12.416</v>
      </c>
      <c r="D66" s="2">
        <f t="shared" si="34"/>
        <v>7.3320830976</v>
      </c>
      <c r="E66" s="2">
        <f t="shared" si="34"/>
        <v>12.416</v>
      </c>
      <c r="F66" s="2">
        <f t="shared" si="34"/>
        <v>12.416</v>
      </c>
      <c r="G66" s="2">
        <f t="shared" si="34"/>
        <v>11.755655808758</v>
      </c>
      <c r="H66" s="2">
        <f t="shared" si="34"/>
        <v>7.3320830976</v>
      </c>
      <c r="I66" s="2"/>
      <c r="J66" s="2"/>
      <c r="K66" s="2"/>
      <c r="L66" s="2"/>
      <c r="M66" s="2"/>
      <c r="N66" s="2"/>
      <c r="P66" s="1"/>
      <c r="Q66" s="1"/>
      <c r="R66" s="1"/>
    </row>
    <row r="67" spans="1:18" x14ac:dyDescent="0.25">
      <c r="A67">
        <v>585</v>
      </c>
      <c r="B67" s="2">
        <f t="shared" ref="B67:H67" si="35">B29/10^6</f>
        <v>12.8</v>
      </c>
      <c r="C67" s="2">
        <f t="shared" si="35"/>
        <v>12.416</v>
      </c>
      <c r="D67" s="2">
        <f t="shared" si="35"/>
        <v>7.4695825623110004</v>
      </c>
      <c r="E67" s="2">
        <f t="shared" si="35"/>
        <v>12.416</v>
      </c>
      <c r="F67" s="2">
        <f t="shared" si="35"/>
        <v>12.416</v>
      </c>
      <c r="G67" s="2">
        <f t="shared" si="35"/>
        <v>12.416</v>
      </c>
      <c r="H67" s="2">
        <f t="shared" si="35"/>
        <v>7.4720453171260006</v>
      </c>
      <c r="I67" s="2"/>
      <c r="J67" s="2"/>
      <c r="K67" s="2"/>
      <c r="L67" s="2"/>
      <c r="M67" s="2"/>
      <c r="N67" s="2"/>
      <c r="P67" s="1"/>
      <c r="Q67" s="1"/>
      <c r="R67" s="1"/>
    </row>
    <row r="68" spans="1:18" x14ac:dyDescent="0.25">
      <c r="A68">
        <v>595</v>
      </c>
      <c r="B68" s="2">
        <f t="shared" ref="B68:H68" si="36">B30/10^6</f>
        <v>12.8</v>
      </c>
      <c r="C68" s="2">
        <f t="shared" si="36"/>
        <v>12.416</v>
      </c>
      <c r="D68" s="2">
        <f t="shared" si="36"/>
        <v>7.6178850865280001</v>
      </c>
      <c r="E68" s="2">
        <f t="shared" si="36"/>
        <v>12.416</v>
      </c>
      <c r="F68" s="2">
        <f t="shared" si="36"/>
        <v>12.416</v>
      </c>
      <c r="G68" s="2">
        <f t="shared" si="36"/>
        <v>12.416</v>
      </c>
      <c r="H68" s="2">
        <f t="shared" si="36"/>
        <v>7.7096678608440001</v>
      </c>
      <c r="I68" s="2"/>
      <c r="J68" s="2"/>
      <c r="K68" s="2"/>
      <c r="L68" s="2"/>
      <c r="M68" s="2"/>
      <c r="N68" s="2"/>
      <c r="P68" s="1"/>
      <c r="Q68" s="1"/>
      <c r="R68" s="1"/>
    </row>
    <row r="69" spans="1:18" x14ac:dyDescent="0.25">
      <c r="A69">
        <v>605</v>
      </c>
      <c r="B69" s="2">
        <f t="shared" ref="B69:H69" si="37">B31/10^6</f>
        <v>12.8</v>
      </c>
      <c r="C69" s="2">
        <f t="shared" si="37"/>
        <v>12.416</v>
      </c>
      <c r="D69" s="2">
        <f t="shared" si="37"/>
        <v>7.7626886360469998</v>
      </c>
      <c r="E69" s="2">
        <f t="shared" si="37"/>
        <v>12.416</v>
      </c>
      <c r="F69" s="2">
        <f t="shared" si="37"/>
        <v>12.416</v>
      </c>
      <c r="G69" s="2">
        <f t="shared" si="37"/>
        <v>12.416</v>
      </c>
      <c r="H69" s="2">
        <f t="shared" si="37"/>
        <v>8.0784518224130011</v>
      </c>
      <c r="I69" s="2"/>
      <c r="J69" s="2"/>
      <c r="K69" s="2"/>
      <c r="L69" s="2"/>
      <c r="M69" s="2"/>
      <c r="N69" s="2"/>
      <c r="P69" s="1"/>
      <c r="Q69" s="1"/>
      <c r="R69" s="1"/>
    </row>
    <row r="70" spans="1:18" x14ac:dyDescent="0.25">
      <c r="A70">
        <v>615</v>
      </c>
      <c r="B70" s="2">
        <f t="shared" ref="B70:H70" si="38">B32/10^6</f>
        <v>12.8</v>
      </c>
      <c r="C70" s="2">
        <f t="shared" si="38"/>
        <v>12.416</v>
      </c>
      <c r="D70" s="2">
        <f t="shared" si="38"/>
        <v>7.9040496807970007</v>
      </c>
      <c r="E70" s="2">
        <f t="shared" si="38"/>
        <v>12.416</v>
      </c>
      <c r="F70" s="2">
        <f t="shared" si="38"/>
        <v>12.416</v>
      </c>
      <c r="G70" s="2">
        <f t="shared" si="38"/>
        <v>12.416</v>
      </c>
      <c r="H70" s="2">
        <f t="shared" si="38"/>
        <v>8.5887235457990005</v>
      </c>
      <c r="I70" s="2"/>
      <c r="J70" s="2"/>
      <c r="K70" s="2"/>
      <c r="L70" s="2"/>
      <c r="M70" s="2"/>
      <c r="N70" s="2"/>
      <c r="P70" s="1"/>
      <c r="Q70" s="1"/>
      <c r="R70" s="1"/>
    </row>
    <row r="71" spans="1:18" x14ac:dyDescent="0.25">
      <c r="A71">
        <v>625</v>
      </c>
      <c r="B71" s="2">
        <f t="shared" ref="B71:H71" si="39">B33/10^6</f>
        <v>12.8</v>
      </c>
      <c r="C71" s="2">
        <f t="shared" si="39"/>
        <v>12.416</v>
      </c>
      <c r="D71" s="2">
        <f t="shared" si="39"/>
        <v>8.0423431120039997</v>
      </c>
      <c r="E71" s="2">
        <f t="shared" si="39"/>
        <v>12.416</v>
      </c>
      <c r="F71" s="2">
        <f t="shared" si="39"/>
        <v>12.416</v>
      </c>
      <c r="G71" s="2">
        <f t="shared" si="39"/>
        <v>12.416</v>
      </c>
      <c r="H71" s="2">
        <f t="shared" si="39"/>
        <v>9.2538638393120003</v>
      </c>
      <c r="I71" s="2"/>
      <c r="J71" s="2"/>
      <c r="K71" s="2"/>
      <c r="L71" s="2"/>
      <c r="M71" s="2"/>
      <c r="N71" s="2"/>
      <c r="P71" s="1"/>
      <c r="Q71" s="1"/>
      <c r="R71" s="1"/>
    </row>
    <row r="72" spans="1:18" x14ac:dyDescent="0.25">
      <c r="A72">
        <v>635</v>
      </c>
      <c r="B72" s="2">
        <f t="shared" ref="B72:H72" si="40">B34/10^6</f>
        <v>12.8</v>
      </c>
      <c r="C72" s="2">
        <f t="shared" si="40"/>
        <v>12.416</v>
      </c>
      <c r="D72" s="2">
        <f t="shared" si="40"/>
        <v>8.1777172679210004</v>
      </c>
      <c r="E72" s="2">
        <f t="shared" si="40"/>
        <v>12.416</v>
      </c>
      <c r="F72" s="2">
        <f t="shared" si="40"/>
        <v>12.416</v>
      </c>
      <c r="G72" s="2">
        <f t="shared" si="40"/>
        <v>12.416</v>
      </c>
      <c r="H72" s="2">
        <f t="shared" si="40"/>
        <v>10.090191571937</v>
      </c>
      <c r="I72" s="2"/>
      <c r="J72" s="2"/>
      <c r="K72" s="2"/>
      <c r="L72" s="2"/>
      <c r="M72" s="2"/>
      <c r="N72" s="2"/>
      <c r="P72" s="1"/>
      <c r="Q72" s="1"/>
      <c r="R72" s="1"/>
    </row>
    <row r="73" spans="1:18" x14ac:dyDescent="0.25">
      <c r="A73">
        <v>645</v>
      </c>
      <c r="B73" s="2">
        <f t="shared" ref="B73:H73" si="41">B35/10^6</f>
        <v>12.8</v>
      </c>
      <c r="C73" s="2">
        <f t="shared" si="41"/>
        <v>12.416</v>
      </c>
      <c r="D73" s="2">
        <f t="shared" si="41"/>
        <v>8.310460169613</v>
      </c>
      <c r="E73" s="2">
        <f t="shared" si="41"/>
        <v>12.416</v>
      </c>
      <c r="F73" s="2">
        <f t="shared" si="41"/>
        <v>12.416</v>
      </c>
      <c r="G73" s="2">
        <f t="shared" si="41"/>
        <v>12.416</v>
      </c>
      <c r="H73" s="2">
        <f t="shared" si="41"/>
        <v>11.118573090748999</v>
      </c>
      <c r="I73" s="2"/>
      <c r="J73" s="2"/>
      <c r="K73" s="2"/>
      <c r="L73" s="2"/>
      <c r="M73" s="2"/>
      <c r="N73" s="2"/>
      <c r="P73" s="1"/>
      <c r="Q73" s="1"/>
      <c r="R73" s="1"/>
    </row>
    <row r="74" spans="1:18" x14ac:dyDescent="0.25">
      <c r="A74">
        <v>655</v>
      </c>
      <c r="B74" s="2">
        <f t="shared" ref="B74:H74" si="42">B36/10^6</f>
        <v>12.8</v>
      </c>
      <c r="C74" s="2">
        <f t="shared" si="42"/>
        <v>12.416</v>
      </c>
      <c r="D74" s="2">
        <f t="shared" si="42"/>
        <v>8.446592622243001</v>
      </c>
      <c r="E74" s="2">
        <f t="shared" si="42"/>
        <v>12.416</v>
      </c>
      <c r="F74" s="2">
        <f t="shared" si="42"/>
        <v>12.416</v>
      </c>
      <c r="G74" s="2">
        <f t="shared" si="42"/>
        <v>12.416</v>
      </c>
      <c r="H74" s="2">
        <f t="shared" si="42"/>
        <v>12.387453679770001</v>
      </c>
      <c r="I74" s="2"/>
      <c r="J74" s="2"/>
      <c r="K74" s="2"/>
      <c r="L74" s="2"/>
      <c r="M74" s="2"/>
      <c r="N74" s="2"/>
      <c r="P74" s="1"/>
      <c r="Q74" s="1"/>
      <c r="R74" s="1"/>
    </row>
    <row r="75" spans="1:18" x14ac:dyDescent="0.25">
      <c r="P75" s="1"/>
      <c r="Q75" s="1"/>
      <c r="R75" s="1"/>
    </row>
    <row r="76" spans="1:18" x14ac:dyDescent="0.25">
      <c r="P76" s="1"/>
      <c r="Q76" s="1"/>
      <c r="R76" s="1"/>
    </row>
    <row r="77" spans="1:18" x14ac:dyDescent="0.25">
      <c r="P77" s="1"/>
      <c r="Q77" s="1"/>
      <c r="R77" s="1"/>
    </row>
    <row r="78" spans="1:18" x14ac:dyDescent="0.25">
      <c r="P78" s="1"/>
      <c r="Q78" s="1"/>
      <c r="R78" s="1"/>
    </row>
    <row r="79" spans="1:18" x14ac:dyDescent="0.25">
      <c r="P79" s="1"/>
      <c r="Q79" s="1"/>
      <c r="R79" s="1"/>
    </row>
    <row r="80" spans="1:18" x14ac:dyDescent="0.25">
      <c r="P80" s="1"/>
      <c r="Q80" s="1"/>
      <c r="R80" s="1"/>
    </row>
    <row r="81" spans="16:18" x14ac:dyDescent="0.25">
      <c r="P81" s="1"/>
      <c r="Q81" s="1"/>
      <c r="R81" s="1"/>
    </row>
    <row r="82" spans="16:18" x14ac:dyDescent="0.25">
      <c r="P82" s="1"/>
      <c r="Q82" s="1"/>
      <c r="R82" s="1"/>
    </row>
    <row r="83" spans="16:18" x14ac:dyDescent="0.25">
      <c r="P83" s="1"/>
      <c r="Q83" s="1"/>
      <c r="R83" s="1"/>
    </row>
    <row r="84" spans="16:18" x14ac:dyDescent="0.25">
      <c r="P84" s="1"/>
      <c r="Q84" s="1"/>
      <c r="R84" s="1"/>
    </row>
    <row r="85" spans="16:18" x14ac:dyDescent="0.25">
      <c r="P85" s="1"/>
      <c r="Q85" s="1"/>
      <c r="R85" s="1"/>
    </row>
    <row r="86" spans="16:18" x14ac:dyDescent="0.25">
      <c r="P86" s="1"/>
      <c r="Q86" s="1"/>
      <c r="R86" s="1"/>
    </row>
    <row r="87" spans="16:18" x14ac:dyDescent="0.25">
      <c r="P87" s="1"/>
      <c r="Q87" s="1"/>
      <c r="R87" s="1"/>
    </row>
    <row r="88" spans="16:18" x14ac:dyDescent="0.25">
      <c r="P88" s="1"/>
      <c r="Q88" s="1"/>
      <c r="R88" s="1"/>
    </row>
    <row r="89" spans="16:18" x14ac:dyDescent="0.25">
      <c r="P89" s="1"/>
      <c r="Q89" s="1"/>
      <c r="R89" s="1"/>
    </row>
    <row r="90" spans="16:18" x14ac:dyDescent="0.25">
      <c r="P90" s="1"/>
      <c r="Q90" s="1"/>
      <c r="R90" s="1"/>
    </row>
    <row r="91" spans="16:18" x14ac:dyDescent="0.25">
      <c r="P91" s="1"/>
      <c r="Q91" s="1"/>
      <c r="R91" s="1"/>
    </row>
    <row r="92" spans="16:18" x14ac:dyDescent="0.25">
      <c r="P92" s="1"/>
      <c r="Q92" s="1"/>
      <c r="R92" s="1"/>
    </row>
    <row r="93" spans="16:18" x14ac:dyDescent="0.25">
      <c r="P93" s="1"/>
      <c r="Q93" s="1"/>
      <c r="R93" s="1"/>
    </row>
    <row r="94" spans="16:18" x14ac:dyDescent="0.25">
      <c r="P94" s="1"/>
      <c r="Q94" s="1"/>
      <c r="R94" s="1"/>
    </row>
    <row r="95" spans="16:18" x14ac:dyDescent="0.25">
      <c r="P95" s="1"/>
      <c r="Q95" s="1"/>
      <c r="R95" s="1"/>
    </row>
    <row r="96" spans="16:18" x14ac:dyDescent="0.25">
      <c r="P96" s="1"/>
      <c r="Q96" s="1"/>
      <c r="R96" s="1"/>
    </row>
    <row r="97" spans="16:18" x14ac:dyDescent="0.25">
      <c r="P97" s="1"/>
      <c r="Q97" s="1"/>
      <c r="R97" s="1"/>
    </row>
    <row r="98" spans="16:18" x14ac:dyDescent="0.25">
      <c r="P98" s="1"/>
      <c r="Q98" s="1"/>
      <c r="R98" s="1"/>
    </row>
    <row r="99" spans="16:18" x14ac:dyDescent="0.25">
      <c r="P99" s="1"/>
      <c r="Q99" s="1"/>
      <c r="R99" s="1"/>
    </row>
    <row r="100" spans="16:18" x14ac:dyDescent="0.25">
      <c r="P100" s="1"/>
      <c r="Q100" s="1"/>
      <c r="R100" s="1"/>
    </row>
    <row r="101" spans="16:18" x14ac:dyDescent="0.25">
      <c r="P101" s="1"/>
      <c r="Q101" s="1"/>
      <c r="R101" s="1"/>
    </row>
    <row r="102" spans="16:18" x14ac:dyDescent="0.25">
      <c r="P102" s="1"/>
      <c r="Q102" s="1"/>
      <c r="R102" s="1"/>
    </row>
    <row r="103" spans="16:18" x14ac:dyDescent="0.25">
      <c r="P103" s="1"/>
      <c r="Q103" s="1"/>
      <c r="R103" s="1"/>
    </row>
    <row r="104" spans="16:18" x14ac:dyDescent="0.25">
      <c r="P104" s="1"/>
      <c r="Q104" s="1"/>
      <c r="R104" s="1"/>
    </row>
    <row r="105" spans="16:18" x14ac:dyDescent="0.25">
      <c r="P105" s="1"/>
      <c r="Q105" s="1"/>
      <c r="R105" s="1"/>
    </row>
    <row r="106" spans="16:18" x14ac:dyDescent="0.25">
      <c r="P106" s="1"/>
      <c r="Q106" s="1"/>
      <c r="R106" s="1"/>
    </row>
    <row r="107" spans="16:18" x14ac:dyDescent="0.25">
      <c r="P107" s="1"/>
      <c r="Q107" s="1"/>
      <c r="R107" s="1"/>
    </row>
    <row r="108" spans="16:18" x14ac:dyDescent="0.25">
      <c r="P108" s="1"/>
      <c r="Q108" s="1"/>
      <c r="R108" s="1"/>
    </row>
    <row r="109" spans="16:18" x14ac:dyDescent="0.25">
      <c r="P109" s="1"/>
      <c r="Q109" s="1"/>
      <c r="R109" s="1"/>
    </row>
    <row r="110" spans="16:18" x14ac:dyDescent="0.25">
      <c r="P110" s="1"/>
      <c r="Q110" s="1"/>
      <c r="R110" s="1"/>
    </row>
    <row r="111" spans="16:18" x14ac:dyDescent="0.25">
      <c r="P111" s="1"/>
      <c r="Q111" s="1"/>
      <c r="R111" s="1"/>
    </row>
    <row r="112" spans="16:18" x14ac:dyDescent="0.25">
      <c r="P112" s="1"/>
      <c r="Q112" s="1"/>
      <c r="R112" s="1"/>
    </row>
    <row r="113" spans="16:19" x14ac:dyDescent="0.25">
      <c r="P113" s="1"/>
      <c r="Q113" s="1"/>
      <c r="R113" s="1"/>
    </row>
    <row r="114" spans="16:19" x14ac:dyDescent="0.25">
      <c r="P114" s="1"/>
      <c r="Q114" s="1"/>
      <c r="R114" s="1"/>
    </row>
    <row r="115" spans="16:19" x14ac:dyDescent="0.25">
      <c r="P115" s="1"/>
      <c r="Q115" s="1"/>
      <c r="R115" s="1"/>
    </row>
    <row r="116" spans="16:19" x14ac:dyDescent="0.25">
      <c r="P116" s="1"/>
      <c r="Q116" s="1"/>
      <c r="R116" s="1"/>
    </row>
    <row r="117" spans="16:19" x14ac:dyDescent="0.25">
      <c r="P117" s="1"/>
      <c r="Q117" s="1"/>
      <c r="R117" s="1"/>
    </row>
    <row r="118" spans="16:19" x14ac:dyDescent="0.25">
      <c r="P118" s="1"/>
      <c r="Q118" s="1"/>
      <c r="R118" s="1"/>
    </row>
    <row r="119" spans="16:19" x14ac:dyDescent="0.25">
      <c r="P119" s="1"/>
      <c r="Q119" s="1"/>
      <c r="R119" s="1"/>
    </row>
    <row r="120" spans="16:19" x14ac:dyDescent="0.25">
      <c r="P120" s="1"/>
      <c r="Q120" s="1"/>
      <c r="R120" s="1"/>
      <c r="S120" s="1"/>
    </row>
    <row r="121" spans="16:19" x14ac:dyDescent="0.25">
      <c r="P121" s="1"/>
      <c r="Q121" s="1"/>
      <c r="R121" s="1"/>
      <c r="S121" s="1"/>
    </row>
    <row r="122" spans="16:19" x14ac:dyDescent="0.25">
      <c r="Q122" s="1"/>
      <c r="R122" s="1"/>
      <c r="S122" s="1"/>
    </row>
    <row r="123" spans="16:19" x14ac:dyDescent="0.25">
      <c r="Q123" s="1"/>
      <c r="R123" s="1"/>
      <c r="S123" s="1"/>
    </row>
    <row r="124" spans="16:19" x14ac:dyDescent="0.25">
      <c r="Q124" s="1"/>
      <c r="R124" s="1"/>
      <c r="S124" s="1"/>
    </row>
    <row r="125" spans="16:19" x14ac:dyDescent="0.25">
      <c r="Q125" s="1"/>
      <c r="R125" s="1"/>
      <c r="S125" s="1"/>
    </row>
    <row r="126" spans="16:19" x14ac:dyDescent="0.25">
      <c r="Q126" s="1"/>
      <c r="R126" s="1"/>
      <c r="S126" s="1"/>
    </row>
    <row r="127" spans="16:19" x14ac:dyDescent="0.25">
      <c r="Q127" s="1"/>
      <c r="R127" s="1"/>
      <c r="S127" s="1"/>
    </row>
    <row r="128" spans="16:19" x14ac:dyDescent="0.25">
      <c r="Q128" s="1"/>
      <c r="R128" s="1"/>
      <c r="S128" s="1"/>
    </row>
    <row r="129" spans="17:19" x14ac:dyDescent="0.25">
      <c r="Q129" s="1"/>
      <c r="R129" s="1"/>
      <c r="S129" s="1"/>
    </row>
    <row r="130" spans="17:19" x14ac:dyDescent="0.25">
      <c r="Q130" s="1"/>
      <c r="R130" s="1"/>
      <c r="S130" s="1"/>
    </row>
    <row r="131" spans="17:19" x14ac:dyDescent="0.25">
      <c r="Q131" s="1"/>
      <c r="R131" s="1"/>
      <c r="S131" s="1"/>
    </row>
    <row r="132" spans="17:19" x14ac:dyDescent="0.25">
      <c r="Q132" s="1"/>
      <c r="R132" s="1"/>
      <c r="S132" s="1"/>
    </row>
    <row r="133" spans="17:19" x14ac:dyDescent="0.25">
      <c r="Q133" s="1"/>
      <c r="R133" s="1"/>
      <c r="S133" s="1"/>
    </row>
    <row r="134" spans="17:19" x14ac:dyDescent="0.25">
      <c r="Q134" s="1"/>
      <c r="R134" s="1"/>
      <c r="S134" s="1"/>
    </row>
    <row r="135" spans="17:19" x14ac:dyDescent="0.25">
      <c r="Q135" s="1"/>
      <c r="R135" s="1"/>
      <c r="S135" s="1"/>
    </row>
    <row r="136" spans="17:19" x14ac:dyDescent="0.25">
      <c r="Q136" s="1"/>
      <c r="R136" s="1"/>
      <c r="S136" s="1"/>
    </row>
    <row r="137" spans="17:19" x14ac:dyDescent="0.25">
      <c r="Q137" s="1"/>
      <c r="R137" s="1"/>
      <c r="S137" s="1"/>
    </row>
    <row r="138" spans="17:19" x14ac:dyDescent="0.25">
      <c r="Q138" s="1"/>
      <c r="R138" s="1"/>
      <c r="S138" s="1"/>
    </row>
    <row r="139" spans="17:19" x14ac:dyDescent="0.25">
      <c r="Q139" s="1"/>
      <c r="R139" s="1"/>
      <c r="S139" s="1"/>
    </row>
    <row r="140" spans="17:19" x14ac:dyDescent="0.25">
      <c r="Q140" s="1"/>
      <c r="R140" s="1"/>
      <c r="S140" s="1"/>
    </row>
    <row r="141" spans="17:19" x14ac:dyDescent="0.25">
      <c r="Q141" s="1"/>
      <c r="R141" s="1"/>
      <c r="S141" s="1"/>
    </row>
    <row r="142" spans="17:19" x14ac:dyDescent="0.25">
      <c r="Q142" s="1"/>
      <c r="R142" s="1"/>
      <c r="S142" s="1"/>
    </row>
    <row r="143" spans="17:19" x14ac:dyDescent="0.25">
      <c r="Q143" s="1"/>
      <c r="R143" s="1"/>
      <c r="S143" s="1"/>
    </row>
    <row r="144" spans="17:19" x14ac:dyDescent="0.25">
      <c r="Q144" s="1"/>
      <c r="R144" s="1"/>
      <c r="S144" s="1"/>
    </row>
    <row r="145" spans="17:19" x14ac:dyDescent="0.25">
      <c r="Q145" s="1"/>
      <c r="R145" s="1"/>
      <c r="S145" s="1"/>
    </row>
    <row r="146" spans="17:19" x14ac:dyDescent="0.25">
      <c r="Q146" s="1"/>
      <c r="R146" s="1"/>
      <c r="S146" s="1"/>
    </row>
    <row r="147" spans="17:19" x14ac:dyDescent="0.25">
      <c r="Q147" s="1"/>
      <c r="R147" s="1"/>
      <c r="S147" s="1"/>
    </row>
    <row r="148" spans="17:19" x14ac:dyDescent="0.25">
      <c r="Q148" s="1"/>
      <c r="R148" s="1"/>
      <c r="S148" s="1"/>
    </row>
    <row r="149" spans="17:19" x14ac:dyDescent="0.25">
      <c r="Q149" s="1"/>
      <c r="R149" s="1"/>
      <c r="S149" s="1"/>
    </row>
    <row r="150" spans="17:19" x14ac:dyDescent="0.25">
      <c r="Q150" s="1"/>
      <c r="R150" s="1"/>
      <c r="S150" s="1"/>
    </row>
    <row r="151" spans="17:19" x14ac:dyDescent="0.25">
      <c r="Q151" s="1"/>
      <c r="R151" s="1"/>
      <c r="S151" s="1"/>
    </row>
    <row r="152" spans="17:19" x14ac:dyDescent="0.25">
      <c r="Q152" s="1"/>
      <c r="R152" s="1"/>
      <c r="S152" s="1"/>
    </row>
    <row r="153" spans="17:19" x14ac:dyDescent="0.25">
      <c r="Q153" s="1"/>
      <c r="R153" s="1"/>
      <c r="S153" s="1"/>
    </row>
    <row r="154" spans="17:19" x14ac:dyDescent="0.25">
      <c r="Q154" s="1"/>
      <c r="R154" s="1"/>
      <c r="S154" s="1"/>
    </row>
    <row r="155" spans="17:19" x14ac:dyDescent="0.25">
      <c r="Q155" s="1"/>
      <c r="R155" s="1"/>
      <c r="S155" s="1"/>
    </row>
    <row r="156" spans="17:19" x14ac:dyDescent="0.25">
      <c r="Q156" s="1"/>
      <c r="R156" s="1"/>
      <c r="S156" s="1"/>
    </row>
    <row r="157" spans="17:19" x14ac:dyDescent="0.25">
      <c r="Q157" s="1"/>
      <c r="R157" s="1"/>
      <c r="S157" s="1"/>
    </row>
    <row r="158" spans="17:19" x14ac:dyDescent="0.25">
      <c r="Q158" s="1"/>
      <c r="R158" s="1"/>
      <c r="S158" s="1"/>
    </row>
    <row r="159" spans="17:19" x14ac:dyDescent="0.25">
      <c r="Q159" s="1"/>
      <c r="R159" s="1"/>
      <c r="S159" s="1"/>
    </row>
    <row r="160" spans="17:19" x14ac:dyDescent="0.25">
      <c r="Q160" s="1"/>
      <c r="R160" s="1"/>
      <c r="S160" s="1"/>
    </row>
    <row r="161" spans="17:19" x14ac:dyDescent="0.25">
      <c r="Q161" s="1"/>
      <c r="R161" s="1"/>
      <c r="S161" s="1"/>
    </row>
    <row r="162" spans="17:19" x14ac:dyDescent="0.25">
      <c r="Q162" s="1"/>
      <c r="R162" s="1"/>
      <c r="S162" s="1"/>
    </row>
    <row r="163" spans="17:19" x14ac:dyDescent="0.25">
      <c r="Q163" s="1"/>
      <c r="R163" s="1"/>
      <c r="S163" s="1"/>
    </row>
    <row r="164" spans="17:19" x14ac:dyDescent="0.25">
      <c r="Q164" s="1"/>
      <c r="R164" s="1"/>
      <c r="S164" s="1"/>
    </row>
    <row r="165" spans="17:19" x14ac:dyDescent="0.25">
      <c r="Q165" s="1"/>
      <c r="R165" s="1"/>
      <c r="S165" s="1"/>
    </row>
    <row r="166" spans="17:19" x14ac:dyDescent="0.25">
      <c r="Q166" s="1"/>
      <c r="R166" s="1"/>
      <c r="S166" s="1"/>
    </row>
    <row r="167" spans="17:19" x14ac:dyDescent="0.25">
      <c r="Q167" s="1"/>
      <c r="R167" s="1"/>
      <c r="S167" s="1"/>
    </row>
    <row r="168" spans="17:19" x14ac:dyDescent="0.25">
      <c r="Q168" s="1"/>
      <c r="R168" s="1"/>
      <c r="S168" s="1"/>
    </row>
    <row r="169" spans="17:19" x14ac:dyDescent="0.25">
      <c r="Q169" s="1"/>
      <c r="R169" s="1"/>
      <c r="S169" s="1"/>
    </row>
    <row r="170" spans="17:19" x14ac:dyDescent="0.25">
      <c r="Q170" s="1"/>
      <c r="R170" s="1"/>
      <c r="S170" s="1"/>
    </row>
    <row r="171" spans="17:19" x14ac:dyDescent="0.25">
      <c r="Q171" s="1"/>
      <c r="R171" s="1"/>
      <c r="S171" s="1"/>
    </row>
    <row r="172" spans="17:19" x14ac:dyDescent="0.25">
      <c r="Q172" s="1"/>
      <c r="R172" s="1"/>
      <c r="S172" s="1"/>
    </row>
    <row r="173" spans="17:19" x14ac:dyDescent="0.25">
      <c r="Q173" s="1"/>
      <c r="R173" s="1"/>
      <c r="S173" s="1"/>
    </row>
    <row r="174" spans="17:19" x14ac:dyDescent="0.25">
      <c r="Q174" s="1"/>
      <c r="R174" s="1"/>
      <c r="S174" s="1"/>
    </row>
    <row r="175" spans="17:19" x14ac:dyDescent="0.25">
      <c r="Q175" s="1"/>
      <c r="R175" s="1"/>
      <c r="S175" s="1"/>
    </row>
    <row r="176" spans="17:19" x14ac:dyDescent="0.25">
      <c r="Q176" s="1"/>
      <c r="R176" s="1"/>
      <c r="S176" s="1"/>
    </row>
    <row r="177" spans="17:19" x14ac:dyDescent="0.25">
      <c r="Q177" s="1"/>
      <c r="R177" s="1"/>
      <c r="S177" s="1"/>
    </row>
    <row r="178" spans="17:19" x14ac:dyDescent="0.25">
      <c r="Q178" s="1"/>
      <c r="R178" s="1"/>
      <c r="S178" s="1"/>
    </row>
    <row r="179" spans="17:19" x14ac:dyDescent="0.25">
      <c r="Q179" s="1"/>
      <c r="R179" s="1"/>
      <c r="S179" s="1"/>
    </row>
    <row r="180" spans="17:19" x14ac:dyDescent="0.25">
      <c r="Q180" s="1"/>
      <c r="R180" s="1"/>
      <c r="S180" s="1"/>
    </row>
    <row r="181" spans="17:19" x14ac:dyDescent="0.25">
      <c r="Q181" s="1"/>
      <c r="R181" s="1"/>
      <c r="S181" s="1"/>
    </row>
    <row r="182" spans="17:19" x14ac:dyDescent="0.25">
      <c r="Q182" s="1"/>
      <c r="R182" s="1"/>
      <c r="S182" s="1"/>
    </row>
    <row r="183" spans="17:19" x14ac:dyDescent="0.25">
      <c r="Q183" s="1"/>
      <c r="R183" s="1"/>
      <c r="S183" s="1"/>
    </row>
    <row r="184" spans="17:19" x14ac:dyDescent="0.25">
      <c r="Q184" s="1"/>
      <c r="R184" s="1"/>
      <c r="S184" s="1"/>
    </row>
    <row r="185" spans="17:19" x14ac:dyDescent="0.25">
      <c r="Q185" s="1"/>
      <c r="R185" s="1"/>
      <c r="S185" s="1"/>
    </row>
    <row r="186" spans="17:19" x14ac:dyDescent="0.25">
      <c r="Q186" s="1"/>
      <c r="R186" s="1"/>
      <c r="S186" s="1"/>
    </row>
    <row r="187" spans="17:19" x14ac:dyDescent="0.25">
      <c r="Q187" s="1"/>
      <c r="R187" s="1"/>
      <c r="S187" s="1"/>
    </row>
    <row r="188" spans="17:19" x14ac:dyDescent="0.25">
      <c r="Q188" s="1"/>
      <c r="R188" s="1"/>
      <c r="S188" s="1"/>
    </row>
    <row r="189" spans="17:19" x14ac:dyDescent="0.25">
      <c r="Q189" s="1"/>
      <c r="R189" s="1"/>
      <c r="S189" s="1"/>
    </row>
    <row r="190" spans="17:19" x14ac:dyDescent="0.25">
      <c r="Q190" s="1"/>
      <c r="R190" s="1"/>
      <c r="S190" s="1"/>
    </row>
    <row r="191" spans="17:19" x14ac:dyDescent="0.25">
      <c r="Q191" s="1"/>
      <c r="R191" s="1"/>
      <c r="S191" s="1"/>
    </row>
    <row r="192" spans="17:19" x14ac:dyDescent="0.25">
      <c r="Q192" s="1"/>
      <c r="R192" s="1"/>
      <c r="S192" s="1"/>
    </row>
    <row r="193" spans="17:19" x14ac:dyDescent="0.25">
      <c r="Q193" s="1"/>
      <c r="R193" s="1"/>
      <c r="S193" s="1"/>
    </row>
    <row r="194" spans="17:19" x14ac:dyDescent="0.25">
      <c r="Q194" s="1"/>
      <c r="R194" s="1"/>
      <c r="S194" s="1"/>
    </row>
    <row r="195" spans="17:19" x14ac:dyDescent="0.25">
      <c r="Q195" s="1"/>
      <c r="R195" s="1"/>
      <c r="S195" s="1"/>
    </row>
    <row r="196" spans="17:19" x14ac:dyDescent="0.25">
      <c r="Q196" s="1"/>
      <c r="R196" s="1"/>
      <c r="S196" s="1"/>
    </row>
    <row r="197" spans="17:19" x14ac:dyDescent="0.25">
      <c r="Q197" s="1"/>
      <c r="R197" s="1"/>
      <c r="S197" s="1"/>
    </row>
    <row r="198" spans="17:19" x14ac:dyDescent="0.25">
      <c r="Q198" s="1"/>
      <c r="R198" s="1"/>
      <c r="S198" s="1"/>
    </row>
    <row r="199" spans="17:19" x14ac:dyDescent="0.25">
      <c r="Q199" s="1"/>
      <c r="R199" s="1"/>
      <c r="S199" s="1"/>
    </row>
    <row r="200" spans="17:19" x14ac:dyDescent="0.25">
      <c r="Q200" s="1"/>
      <c r="R200" s="1"/>
      <c r="S200" s="1"/>
    </row>
    <row r="201" spans="17:19" x14ac:dyDescent="0.25">
      <c r="Q201" s="1"/>
      <c r="R201" s="1"/>
      <c r="S201" s="1"/>
    </row>
    <row r="202" spans="17:19" x14ac:dyDescent="0.25">
      <c r="Q202" s="1"/>
      <c r="R202" s="1"/>
      <c r="S202" s="1"/>
    </row>
    <row r="203" spans="17:19" x14ac:dyDescent="0.25">
      <c r="Q203" s="1"/>
      <c r="R203" s="1"/>
      <c r="S203" s="1"/>
    </row>
    <row r="204" spans="17:19" x14ac:dyDescent="0.25">
      <c r="Q204" s="1"/>
      <c r="R204" s="1"/>
      <c r="S204" s="1"/>
    </row>
    <row r="205" spans="17:19" x14ac:dyDescent="0.25">
      <c r="Q205" s="1"/>
      <c r="R205" s="1"/>
      <c r="S205" s="1"/>
    </row>
    <row r="206" spans="17:19" x14ac:dyDescent="0.25">
      <c r="Q206" s="1"/>
      <c r="R206" s="1"/>
      <c r="S206" s="1"/>
    </row>
    <row r="207" spans="17:19" x14ac:dyDescent="0.25">
      <c r="Q207" s="1"/>
      <c r="R207" s="1"/>
      <c r="S207" s="1"/>
    </row>
    <row r="208" spans="17:19" x14ac:dyDescent="0.25">
      <c r="Q208" s="1"/>
      <c r="R208" s="1"/>
      <c r="S208" s="1"/>
    </row>
    <row r="209" spans="17:19" x14ac:dyDescent="0.25">
      <c r="Q209" s="1"/>
      <c r="R209" s="1"/>
      <c r="S209" s="1"/>
    </row>
    <row r="210" spans="17:19" x14ac:dyDescent="0.25">
      <c r="Q210" s="1"/>
      <c r="R210" s="1"/>
      <c r="S210" s="1"/>
    </row>
    <row r="211" spans="17:19" x14ac:dyDescent="0.25">
      <c r="Q211" s="1"/>
      <c r="R211" s="1"/>
      <c r="S211" s="1"/>
    </row>
    <row r="212" spans="17:19" x14ac:dyDescent="0.25">
      <c r="Q212" s="1"/>
      <c r="R212" s="1"/>
      <c r="S212" s="1"/>
    </row>
    <row r="213" spans="17:19" x14ac:dyDescent="0.25">
      <c r="Q213" s="1"/>
      <c r="R213" s="1"/>
      <c r="S213" s="1"/>
    </row>
    <row r="214" spans="17:19" x14ac:dyDescent="0.25">
      <c r="Q214" s="1"/>
      <c r="R214" s="1"/>
      <c r="S214" s="1"/>
    </row>
    <row r="215" spans="17:19" x14ac:dyDescent="0.25">
      <c r="Q215" s="1"/>
      <c r="R215" s="1"/>
      <c r="S215" s="1"/>
    </row>
    <row r="216" spans="17:19" x14ac:dyDescent="0.25">
      <c r="Q216" s="1"/>
      <c r="R216" s="1"/>
      <c r="S216" s="1"/>
    </row>
    <row r="217" spans="17:19" x14ac:dyDescent="0.25">
      <c r="Q217" s="1"/>
      <c r="R217" s="1"/>
      <c r="S217" s="1"/>
    </row>
    <row r="218" spans="17:19" x14ac:dyDescent="0.25">
      <c r="Q218" s="1"/>
      <c r="R218" s="1"/>
      <c r="S218" s="1"/>
    </row>
    <row r="219" spans="17:19" x14ac:dyDescent="0.25">
      <c r="Q219" s="1"/>
      <c r="R219" s="1"/>
      <c r="S219" s="1"/>
    </row>
    <row r="220" spans="17:19" x14ac:dyDescent="0.25">
      <c r="Q220" s="1"/>
      <c r="R220" s="1"/>
      <c r="S220" s="1"/>
    </row>
    <row r="221" spans="17:19" x14ac:dyDescent="0.25">
      <c r="Q221" s="1"/>
      <c r="R221" s="1"/>
      <c r="S221" s="1"/>
    </row>
    <row r="222" spans="17:19" x14ac:dyDescent="0.25">
      <c r="Q222" s="1"/>
      <c r="R222" s="1"/>
      <c r="S222" s="1"/>
    </row>
    <row r="223" spans="17:19" x14ac:dyDescent="0.25">
      <c r="Q223" s="1"/>
      <c r="R223" s="1"/>
      <c r="S223" s="1"/>
    </row>
    <row r="224" spans="17:19" x14ac:dyDescent="0.25">
      <c r="Q224" s="1"/>
      <c r="R224" s="1"/>
      <c r="S224" s="1"/>
    </row>
    <row r="225" spans="17:19" x14ac:dyDescent="0.25">
      <c r="Q225" s="1"/>
      <c r="R225" s="1"/>
      <c r="S225" s="1"/>
    </row>
    <row r="226" spans="17:19" x14ac:dyDescent="0.25">
      <c r="Q226" s="1"/>
      <c r="R226" s="1"/>
      <c r="S226" s="1"/>
    </row>
    <row r="227" spans="17:19" x14ac:dyDescent="0.25">
      <c r="Q227" s="1"/>
      <c r="R227" s="1"/>
      <c r="S227" s="1"/>
    </row>
    <row r="228" spans="17:19" x14ac:dyDescent="0.25">
      <c r="Q228" s="1"/>
      <c r="R228" s="1"/>
      <c r="S228" s="1"/>
    </row>
    <row r="229" spans="17:19" x14ac:dyDescent="0.25">
      <c r="Q229" s="1"/>
      <c r="R229" s="1"/>
      <c r="S229" s="1"/>
    </row>
    <row r="230" spans="17:19" x14ac:dyDescent="0.25">
      <c r="Q230" s="1"/>
      <c r="R230" s="1"/>
      <c r="S230" s="1"/>
    </row>
    <row r="231" spans="17:19" x14ac:dyDescent="0.25">
      <c r="Q231" s="1"/>
      <c r="R231" s="1"/>
      <c r="S231" s="1"/>
    </row>
    <row r="232" spans="17:19" x14ac:dyDescent="0.25">
      <c r="Q232" s="1"/>
      <c r="R232" s="1"/>
      <c r="S232" s="1"/>
    </row>
    <row r="233" spans="17:19" x14ac:dyDescent="0.25">
      <c r="Q233" s="1"/>
      <c r="R233" s="1"/>
      <c r="S233" s="1"/>
    </row>
    <row r="234" spans="17:19" x14ac:dyDescent="0.25">
      <c r="Q234" s="1"/>
      <c r="R234" s="1"/>
      <c r="S234" s="1"/>
    </row>
    <row r="235" spans="17:19" x14ac:dyDescent="0.25">
      <c r="Q235" s="1"/>
      <c r="R235" s="1"/>
      <c r="S235" s="1"/>
    </row>
    <row r="236" spans="17:19" x14ac:dyDescent="0.25">
      <c r="Q236" s="1"/>
      <c r="R236" s="1"/>
      <c r="S236" s="1"/>
    </row>
    <row r="237" spans="17:19" x14ac:dyDescent="0.25">
      <c r="Q237" s="1"/>
      <c r="R237" s="1"/>
      <c r="S237" s="1"/>
    </row>
    <row r="238" spans="17:19" x14ac:dyDescent="0.25">
      <c r="Q238" s="1"/>
      <c r="R238" s="1"/>
      <c r="S238" s="1"/>
    </row>
    <row r="239" spans="17:19" x14ac:dyDescent="0.25">
      <c r="Q239" s="1"/>
      <c r="R239" s="1"/>
      <c r="S239" s="1"/>
    </row>
    <row r="240" spans="17:19" x14ac:dyDescent="0.25">
      <c r="Q240" s="1"/>
      <c r="R240" s="1"/>
      <c r="S240" s="1"/>
    </row>
    <row r="241" spans="17:19" x14ac:dyDescent="0.25">
      <c r="Q241" s="1"/>
      <c r="R241" s="1"/>
      <c r="S241" s="1"/>
    </row>
    <row r="242" spans="17:19" x14ac:dyDescent="0.25">
      <c r="Q242" s="1"/>
      <c r="R242" s="1"/>
      <c r="S242" s="1"/>
    </row>
    <row r="243" spans="17:19" x14ac:dyDescent="0.25">
      <c r="Q243" s="1"/>
      <c r="R243" s="1"/>
      <c r="S243" s="1"/>
    </row>
    <row r="244" spans="17:19" x14ac:dyDescent="0.25">
      <c r="Q244" s="1"/>
      <c r="R244" s="1"/>
      <c r="S244" s="1"/>
    </row>
    <row r="245" spans="17:19" x14ac:dyDescent="0.25">
      <c r="Q245" s="1"/>
      <c r="R245" s="1"/>
      <c r="S245" s="1"/>
    </row>
    <row r="246" spans="17:19" x14ac:dyDescent="0.25">
      <c r="Q246" s="1"/>
      <c r="R246" s="1"/>
      <c r="S246" s="1"/>
    </row>
    <row r="247" spans="17:19" x14ac:dyDescent="0.25">
      <c r="Q247" s="1"/>
      <c r="R247" s="1"/>
      <c r="S247" s="1"/>
    </row>
    <row r="248" spans="17:19" x14ac:dyDescent="0.25">
      <c r="Q248" s="1"/>
      <c r="R248" s="1"/>
      <c r="S248" s="1"/>
    </row>
    <row r="249" spans="17:19" x14ac:dyDescent="0.25">
      <c r="Q249" s="1"/>
      <c r="R249" s="1"/>
      <c r="S249" s="1"/>
    </row>
    <row r="250" spans="17:19" x14ac:dyDescent="0.25">
      <c r="Q250" s="1"/>
      <c r="R250" s="1"/>
      <c r="S250" s="1"/>
    </row>
    <row r="251" spans="17:19" x14ac:dyDescent="0.25">
      <c r="Q251" s="1"/>
      <c r="R251" s="1"/>
      <c r="S251" s="1"/>
    </row>
    <row r="252" spans="17:19" x14ac:dyDescent="0.25">
      <c r="Q252" s="1"/>
      <c r="R252" s="1"/>
      <c r="S252" s="1"/>
    </row>
    <row r="253" spans="17:19" x14ac:dyDescent="0.25">
      <c r="Q253" s="1"/>
      <c r="R253" s="1"/>
      <c r="S253" s="1"/>
    </row>
    <row r="254" spans="17:19" x14ac:dyDescent="0.25">
      <c r="Q254" s="1"/>
      <c r="R254" s="1"/>
      <c r="S254" s="1"/>
    </row>
    <row r="255" spans="17:19" x14ac:dyDescent="0.25">
      <c r="Q255" s="1"/>
      <c r="R255" s="1"/>
      <c r="S255" s="1"/>
    </row>
    <row r="256" spans="17:19" x14ac:dyDescent="0.25">
      <c r="Q256" s="1"/>
      <c r="R256" s="1"/>
      <c r="S256" s="1"/>
    </row>
    <row r="257" spans="17:19" x14ac:dyDescent="0.25">
      <c r="Q257" s="1"/>
      <c r="R257" s="1"/>
      <c r="S257" s="1"/>
    </row>
    <row r="258" spans="17:19" x14ac:dyDescent="0.25">
      <c r="Q258" s="1"/>
      <c r="R258" s="1"/>
      <c r="S258" s="1"/>
    </row>
    <row r="259" spans="17:19" x14ac:dyDescent="0.25">
      <c r="Q259" s="1"/>
      <c r="R259" s="1"/>
      <c r="S259" s="1"/>
    </row>
    <row r="260" spans="17:19" x14ac:dyDescent="0.25">
      <c r="Q260" s="1"/>
      <c r="R260" s="1"/>
      <c r="S260" s="1"/>
    </row>
    <row r="261" spans="17:19" x14ac:dyDescent="0.25">
      <c r="Q261" s="1"/>
      <c r="R261" s="1"/>
      <c r="S261" s="1"/>
    </row>
    <row r="262" spans="17:19" x14ac:dyDescent="0.25">
      <c r="Q262" s="1"/>
      <c r="R262" s="1"/>
      <c r="S262" s="1"/>
    </row>
    <row r="263" spans="17:19" x14ac:dyDescent="0.25">
      <c r="Q263" s="1"/>
      <c r="R263" s="1"/>
      <c r="S263" s="1"/>
    </row>
    <row r="264" spans="17:19" x14ac:dyDescent="0.25">
      <c r="Q264" s="1"/>
      <c r="R264" s="1"/>
      <c r="S264" s="1"/>
    </row>
    <row r="265" spans="17:19" x14ac:dyDescent="0.25">
      <c r="Q265" s="1"/>
      <c r="R265" s="1"/>
      <c r="S265" s="1"/>
    </row>
    <row r="266" spans="17:19" x14ac:dyDescent="0.25">
      <c r="Q266" s="1"/>
      <c r="R266" s="1"/>
      <c r="S266" s="1"/>
    </row>
    <row r="267" spans="17:19" x14ac:dyDescent="0.25">
      <c r="Q267" s="1"/>
      <c r="R267" s="1"/>
      <c r="S267" s="1"/>
    </row>
    <row r="268" spans="17:19" x14ac:dyDescent="0.25">
      <c r="Q268" s="1"/>
      <c r="R268" s="1"/>
      <c r="S268" s="1"/>
    </row>
    <row r="269" spans="17:19" x14ac:dyDescent="0.25">
      <c r="Q269" s="1"/>
      <c r="R269" s="1"/>
      <c r="S269" s="1"/>
    </row>
    <row r="270" spans="17:19" x14ac:dyDescent="0.25">
      <c r="Q270" s="1"/>
      <c r="R270" s="1"/>
      <c r="S270" s="1"/>
    </row>
    <row r="271" spans="17:19" x14ac:dyDescent="0.25">
      <c r="Q271" s="1"/>
      <c r="R271" s="1"/>
      <c r="S271" s="1"/>
    </row>
    <row r="272" spans="17:19" x14ac:dyDescent="0.25">
      <c r="Q272" s="1"/>
      <c r="R272" s="1"/>
      <c r="S272" s="1"/>
    </row>
    <row r="273" spans="17:19" x14ac:dyDescent="0.25">
      <c r="Q273" s="1"/>
      <c r="R273" s="1"/>
      <c r="S273" s="1"/>
    </row>
    <row r="274" spans="17:19" x14ac:dyDescent="0.25">
      <c r="Q274" s="1"/>
      <c r="R274" s="1"/>
      <c r="S274" s="1"/>
    </row>
    <row r="275" spans="17:19" x14ac:dyDescent="0.25">
      <c r="Q275" s="1"/>
      <c r="R275" s="1"/>
      <c r="S275" s="1"/>
    </row>
    <row r="276" spans="17:19" x14ac:dyDescent="0.25">
      <c r="Q276" s="1"/>
      <c r="R276" s="1"/>
      <c r="S276" s="1"/>
    </row>
    <row r="277" spans="17:19" x14ac:dyDescent="0.25">
      <c r="Q277" s="1"/>
      <c r="R277" s="1"/>
      <c r="S277" s="1"/>
    </row>
    <row r="278" spans="17:19" x14ac:dyDescent="0.25">
      <c r="Q278" s="1"/>
      <c r="R278" s="1"/>
      <c r="S278" s="1"/>
    </row>
    <row r="279" spans="17:19" x14ac:dyDescent="0.25">
      <c r="Q279" s="1"/>
      <c r="R279" s="1"/>
      <c r="S279" s="1"/>
    </row>
    <row r="280" spans="17:19" x14ac:dyDescent="0.25">
      <c r="Q280" s="1"/>
      <c r="R280" s="1"/>
      <c r="S280" s="1"/>
    </row>
    <row r="281" spans="17:19" x14ac:dyDescent="0.25">
      <c r="Q281" s="1"/>
      <c r="R281" s="1"/>
      <c r="S281" s="1"/>
    </row>
    <row r="282" spans="17:19" x14ac:dyDescent="0.25">
      <c r="Q282" s="1"/>
      <c r="R282" s="1"/>
      <c r="S282" s="1"/>
    </row>
    <row r="283" spans="17:19" x14ac:dyDescent="0.25">
      <c r="Q283" s="1"/>
      <c r="R283" s="1"/>
      <c r="S283" s="1"/>
    </row>
    <row r="284" spans="17:19" x14ac:dyDescent="0.25">
      <c r="Q284" s="1"/>
      <c r="R284" s="1"/>
      <c r="S284" s="1"/>
    </row>
    <row r="285" spans="17:19" x14ac:dyDescent="0.25">
      <c r="Q285" s="1"/>
      <c r="R285" s="1"/>
      <c r="S285" s="1"/>
    </row>
    <row r="286" spans="17:19" x14ac:dyDescent="0.25">
      <c r="Q286" s="1"/>
      <c r="R286" s="1"/>
      <c r="S286" s="1"/>
    </row>
    <row r="287" spans="17:19" x14ac:dyDescent="0.25">
      <c r="Q287" s="1"/>
      <c r="R287" s="1"/>
      <c r="S287" s="1"/>
    </row>
    <row r="288" spans="17:19" x14ac:dyDescent="0.25">
      <c r="Q288" s="1"/>
      <c r="R288" s="1"/>
      <c r="S288" s="1"/>
    </row>
    <row r="289" spans="17:19" x14ac:dyDescent="0.25">
      <c r="Q289" s="1"/>
      <c r="R289" s="1"/>
      <c r="S289" s="1"/>
    </row>
    <row r="290" spans="17:19" x14ac:dyDescent="0.25">
      <c r="Q290" s="1"/>
      <c r="R290" s="1"/>
      <c r="S290" s="1"/>
    </row>
    <row r="291" spans="17:19" x14ac:dyDescent="0.25">
      <c r="Q291" s="1"/>
      <c r="R291" s="1"/>
      <c r="S291" s="1"/>
    </row>
    <row r="292" spans="17:19" x14ac:dyDescent="0.25">
      <c r="Q292" s="1"/>
      <c r="R292" s="1"/>
      <c r="S292" s="1"/>
    </row>
    <row r="293" spans="17:19" x14ac:dyDescent="0.25">
      <c r="Q293" s="1"/>
      <c r="R293" s="1"/>
      <c r="S293" s="1"/>
    </row>
    <row r="294" spans="17:19" x14ac:dyDescent="0.25">
      <c r="Q294" s="1"/>
      <c r="R294" s="1"/>
      <c r="S294" s="1"/>
    </row>
    <row r="295" spans="17:19" x14ac:dyDescent="0.25">
      <c r="Q295" s="1"/>
      <c r="R295" s="1"/>
      <c r="S295" s="1"/>
    </row>
    <row r="296" spans="17:19" x14ac:dyDescent="0.25">
      <c r="Q296" s="1"/>
      <c r="R296" s="1"/>
      <c r="S296" s="1"/>
    </row>
    <row r="297" spans="17:19" x14ac:dyDescent="0.25">
      <c r="Q297" s="1"/>
      <c r="R297" s="1"/>
      <c r="S297" s="1"/>
    </row>
    <row r="298" spans="17:19" x14ac:dyDescent="0.25">
      <c r="Q298" s="1"/>
      <c r="R298" s="1"/>
      <c r="S298" s="1"/>
    </row>
    <row r="299" spans="17:19" x14ac:dyDescent="0.25">
      <c r="Q299" s="1"/>
      <c r="R299" s="1"/>
      <c r="S299" s="1"/>
    </row>
    <row r="300" spans="17:19" x14ac:dyDescent="0.25">
      <c r="Q300" s="1"/>
      <c r="R300" s="1"/>
      <c r="S300" s="1"/>
    </row>
    <row r="301" spans="17:19" x14ac:dyDescent="0.25">
      <c r="Q301" s="1"/>
      <c r="R301" s="1"/>
      <c r="S301" s="1"/>
    </row>
  </sheetData>
  <sortState ref="A2:F29">
    <sortCondition ref="A2"/>
  </sortState>
  <dataConsolidate/>
  <conditionalFormatting sqref="E2 E21">
    <cfRule type="cellIs" dxfId="8" priority="10" operator="lessThan">
      <formula>#REF!</formula>
    </cfRule>
  </conditionalFormatting>
  <conditionalFormatting sqref="F2 F21">
    <cfRule type="cellIs" dxfId="7" priority="11" operator="lessThan">
      <formula>#REF!</formula>
    </cfRule>
  </conditionalFormatting>
  <conditionalFormatting sqref="G2 G21">
    <cfRule type="cellIs" dxfId="6" priority="12" operator="lessThan">
      <formula>#REF!</formula>
    </cfRule>
  </conditionalFormatting>
  <conditionalFormatting sqref="H2 H21">
    <cfRule type="cellIs" dxfId="5" priority="13" operator="lessThan">
      <formula>#REF!</formula>
    </cfRule>
  </conditionalFormatting>
  <conditionalFormatting sqref="E2:E36">
    <cfRule type="cellIs" dxfId="4" priority="5" operator="lessThan">
      <formula>$C$2</formula>
    </cfRule>
  </conditionalFormatting>
  <conditionalFormatting sqref="E2:H36">
    <cfRule type="cellIs" dxfId="3" priority="1" operator="lessThan">
      <formula>$C$2</formula>
    </cfRule>
    <cfRule type="cellIs" dxfId="2" priority="2" operator="greaterThan">
      <formula>$C$2</formula>
    </cfRule>
    <cfRule type="cellIs" dxfId="1" priority="3" operator="lessThan">
      <formula>$C$2</formula>
    </cfRule>
    <cfRule type="cellIs" dxfId="0" priority="4" operator="lessThan">
      <formula>$C$2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dśwież">
                <anchor moveWithCells="1" sizeWithCells="1">
                  <from>
                    <xdr:col>13</xdr:col>
                    <xdr:colOff>704850</xdr:colOff>
                    <xdr:row>36</xdr:row>
                    <xdr:rowOff>47625</xdr:rowOff>
                  </from>
                  <to>
                    <xdr:col>18</xdr:col>
                    <xdr:colOff>514350</xdr:colOff>
                    <xdr:row>38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Zakresy nazwane</vt:lpstr>
      </vt:variant>
      <vt:variant>
        <vt:i4>1</vt:i4>
      </vt:variant>
    </vt:vector>
  </HeadingPairs>
  <TitlesOfParts>
    <vt:vector size="3" baseType="lpstr">
      <vt:lpstr>Arkusz1</vt:lpstr>
      <vt:lpstr>wykres p_zk</vt:lpstr>
      <vt:lpstr>'wykres p_zk'!_1_1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Piotrek</dc:creator>
  <cp:lastModifiedBy>Piotrek</cp:lastModifiedBy>
  <dcterms:created xsi:type="dcterms:W3CDTF">2015-04-19T17:27:40Z</dcterms:created>
  <dcterms:modified xsi:type="dcterms:W3CDTF">2015-07-23T17:44:57Z</dcterms:modified>
</cp:coreProperties>
</file>